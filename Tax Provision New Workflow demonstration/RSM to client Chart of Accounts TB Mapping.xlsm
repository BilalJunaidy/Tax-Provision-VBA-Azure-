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al\Desktop\Documents transferred from RSM Laptop due to RAM issue\Gold Standard\Tax Provision New Workflow demonstration\"/>
    </mc:Choice>
  </mc:AlternateContent>
  <xr:revisionPtr revIDLastSave="0" documentId="13_ncr:1_{ECE308FF-1230-4F08-9D39-C61BBAAEC07A}" xr6:coauthVersionLast="45" xr6:coauthVersionMax="45" xr10:uidLastSave="{00000000-0000-0000-0000-000000000000}"/>
  <bookViews>
    <workbookView xWindow="-75" yWindow="-16320" windowWidth="29040" windowHeight="15840" xr2:uid="{6CE1ADB2-AA36-4E3B-BD64-EBF914A8B66C}"/>
  </bookViews>
  <sheets>
    <sheet name="RSM Chart of Accounts" sheetId="2" r:id="rId1"/>
    <sheet name="Current_Tax_Expense" sheetId="7" r:id="rId2"/>
    <sheet name="Tax Rates" sheetId="8" r:id="rId3"/>
    <sheet name="Return_to_Provision" sheetId="9" r:id="rId4"/>
    <sheet name="Future_Taxes" sheetId="10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\0">#REF!</definedName>
    <definedName name="\a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l">#REF!</definedName>
    <definedName name="\m">#REF!</definedName>
    <definedName name="\n">#REF!</definedName>
    <definedName name="\p">#REF!</definedName>
    <definedName name="\q">#REF!</definedName>
    <definedName name="\s">#REF!</definedName>
    <definedName name="\t">#REF!</definedName>
    <definedName name="\u">#REF!</definedName>
    <definedName name="\w">#REF!</definedName>
    <definedName name="_">#REF!</definedName>
    <definedName name="__">#REF!</definedName>
    <definedName name="_________________________________xlfn.RTD">#NAME?</definedName>
    <definedName name="________________________________xlfn.RTD">#NAME?</definedName>
    <definedName name="_______________________________xlfn.RTD">#NAME?</definedName>
    <definedName name="______________________________xlfn.RTD">#NAME?</definedName>
    <definedName name="_____________________________xlfn.RTD">#NAME?</definedName>
    <definedName name="____________________________xlfn.RTD">#NAME?</definedName>
    <definedName name="___________________________xlfn.RTD">#NAME?</definedName>
    <definedName name="__________________________xlfn.RTD">#NAME?</definedName>
    <definedName name="_________________________xlfn.RTD">#NAME?</definedName>
    <definedName name="________________________xlfn.RTD">#NAME?</definedName>
    <definedName name="_______________________xlfn.RTD">#NAME?</definedName>
    <definedName name="______________________xlfn.RTD">#NAME?</definedName>
    <definedName name="_____________________xlfn.RTD">#NAME?</definedName>
    <definedName name="____________________xlfn.RTD">#NAME?</definedName>
    <definedName name="___________________xlfn.RTD">#NAME?</definedName>
    <definedName name="__________________xlfn.RTD">#NAME?</definedName>
    <definedName name="_________________xlfn.RTD">#NAME?</definedName>
    <definedName name="________________xlfn.RTD">#NAME?</definedName>
    <definedName name="_______________xlfn.RTD">#NAME?</definedName>
    <definedName name="______________xlfn.RTD">#NAME?</definedName>
    <definedName name="_____________xlfn.RTD">#NAME?</definedName>
    <definedName name="____________xlfn.RTD">#NAME?</definedName>
    <definedName name="___________xlfn.RTD">#NAME?</definedName>
    <definedName name="__________xlfn.RTD">#NAME?</definedName>
    <definedName name="_________xlfn.RTD">#NAME?</definedName>
    <definedName name="________xlfn.RTD">#NAME?</definedName>
    <definedName name="_______xlfn.RTD">#NAME?</definedName>
    <definedName name="______xlfn.RTD">#NAME?</definedName>
    <definedName name="_____xlfn.RTD">#NAME?</definedName>
    <definedName name="____a1">'[1]BS and P&amp;L'!#REF!</definedName>
    <definedName name="____xlfn.RTD">#NAME?</definedName>
    <definedName name="___a1">'[1]BS and P&amp;L'!#REF!</definedName>
    <definedName name="___CLA161">[2]Computation!$AJ$2:$AO$63</definedName>
    <definedName name="___CLA162">[2]Computation!$AJ$67:$AO$135</definedName>
    <definedName name="___INDEX_SHEET___ASAP_Utilities">"#REF!"</definedName>
    <definedName name="___iv65537">#REF!</definedName>
    <definedName name="___iv65540">#REF!</definedName>
    <definedName name="___xlfn.RTD">#NAME?</definedName>
    <definedName name="__1__123Graph_ACHART_28" hidden="1">[3]B!$D$10:$U$10</definedName>
    <definedName name="__123Graph_AGRAPH1" hidden="1">[4]apports!$H$151:$H$162</definedName>
    <definedName name="__123Graph_ARECENT" hidden="1">'[5]Les Cèdres'!#REF!</definedName>
    <definedName name="__123Graph_BGRAPH1" hidden="1">[4]apports!$I$151:$I$162</definedName>
    <definedName name="__123Graph_BRECENT" hidden="1">'[5]Les Cèdres'!#REF!</definedName>
    <definedName name="__123Graph_CGRAPH1" hidden="1">[4]apports!$H$163:$H$173</definedName>
    <definedName name="__123Graph_CRECENT" hidden="1">'[5]Les Cèdres'!#REF!</definedName>
    <definedName name="__123Graph_D" hidden="1">'[6]vb 9&amp;10'!#REF!</definedName>
    <definedName name="__123Graph_DRECENT" hidden="1">'[5]Les Cèdres'!#REF!</definedName>
    <definedName name="__123Graph_ERECENT" hidden="1">'[5]Les Cèdres'!#REF!</definedName>
    <definedName name="__2__123Graph_BCHART_28" hidden="1">[3]B!$D$11:$U$11</definedName>
    <definedName name="__3__123Graph_CCHART_28" hidden="1">[3]B!$D$12:$U$12</definedName>
    <definedName name="__4__123Graph_DCHART_28" hidden="1">[3]B!$D$7:$U$7</definedName>
    <definedName name="__5__123Graph_ECHART_28" hidden="1">[3]B!$D$8:$U$8</definedName>
    <definedName name="__6__123Graph_FCHART_28" hidden="1">[3]B!$D$9:$U$9</definedName>
    <definedName name="__CLA162">[2]Computation!$AJ$67:$AO$135</definedName>
    <definedName name="__DAT1">#REF!</definedName>
    <definedName name="__DAT2">#REF!</definedName>
    <definedName name="__DAT3">#REF!</definedName>
    <definedName name="__DAT4">#REF!</definedName>
    <definedName name="__DAT5">#REF!</definedName>
    <definedName name="__FDS_HYPERLINK_TOGGLE_STATE__">"ON"</definedName>
    <definedName name="__Ht_Data_Spc_Version_Spc_1">"01._Spc_Current_Spc_Data_Spc_Version"</definedName>
    <definedName name="__Ht_Data_Spc_Version_Spc_2">"02._Spc_Previous_Spc_Year_Spc_Data_Spc_Version"</definedName>
    <definedName name="__Ht_Data_Spc_Version_Spc_3">"03._Spc_Most_Spc_recent_Spc_Budget_Spc_Version"</definedName>
    <definedName name="__Ht_Data_Spc_Version_Spc_4">"04._Spc_Target_Spc_Data_Spc_version_Spc_for_Spc_Quarter_Hyp_to_Hyp_go"</definedName>
    <definedName name="__Ht_Data_Spc_Version_Spc_5">"02b._Spc_Previous_Spc_Year_Spc_Current_Spc_volume_Spc_Version"</definedName>
    <definedName name="__Ht_Data_Spc_Version_Spc_6">"03b._Spc_Most_Spc_recent_Spc_budget_Spc_Current_Spc_volume_Spc_version"</definedName>
    <definedName name="__Ht_Data_Spc_Version_Spc_7">"01b._Spc_Current_Spc_volume_Spc_Data_Spc_Version"</definedName>
    <definedName name="__Ht_Data_Spc_Version_Spc_8">"04b._Spc_Target_Spc_Volume_Spc_version_Spc_for_Spc_Quarter_Hyp_to_Hyp_go"</definedName>
    <definedName name="__Ht_Period_Spc_1">"05._Spc_Current_Spc_Month"</definedName>
    <definedName name="__Ht_Period_Spc_2">"07._Spc_All_Spc_months_Spc_in_Spc_YTD"</definedName>
    <definedName name="__Ht_Period_Spc_3">"06._Spc_All_Spc_months_Spc_in_Spc_current_Spc_Quarter"</definedName>
    <definedName name="__Ht_Region_Spc_1">"18._Spc_Select_Spc_your_Spc_region"</definedName>
    <definedName name="__Ht_USD_Spc_Month_Spc_1?">"12._Spc_Financials_Spc_Month"</definedName>
    <definedName name="__Ht_USD_Spc_Quarter_Spc_1?">"13._Spc_Financials_Spc_Quarter"</definedName>
    <definedName name="__Ht_USD_Spc_YTD_Spc_1?">"14._Spc_Financials_Spc_YTD"</definedName>
    <definedName name="__Ht_Variance_Spc_Description_Spc_1">"08._Spc_Variance_Spc_Description_Spc_vs._Spc_Actual"</definedName>
    <definedName name="__Ht_Variance_Spc_Description_Spc_2">"9._Spc_Variance_Spc_Description_Spc_vs._Spc_Budget"</definedName>
    <definedName name="__Ht_Variance_Spc_Description_Spc_3">"10._Spc_OCI_Spc_tracking_Spc_Variance_Spc_Description_Spc_1"</definedName>
    <definedName name="__Ht_Variance_Spc_Description_Spc_4">"11._Spc_OCI_Spc_tracking_Spc_Variance_Spc_Description_Spc_2"</definedName>
    <definedName name="__Ht_Volume_Spc_Month_Spc_1?">"15._Spc_Volume_Spc_Month"</definedName>
    <definedName name="__Ht_Volume_Spc_Quarter_Spc_1?">"16._Spc_Volume_Spc_Quarter"</definedName>
    <definedName name="__Ht_Volume_Spc_YTD_Spc_1?">"17._Spc_Volume_Spc_YTD"</definedName>
    <definedName name="__iv65537">#REF!</definedName>
    <definedName name="__iv65540">#REF!</definedName>
    <definedName name="__pg1">#REF!</definedName>
    <definedName name="__pg10">#REF!</definedName>
    <definedName name="__pg11">#REF!</definedName>
    <definedName name="__pg12">#REF!</definedName>
    <definedName name="__pg13">#REF!</definedName>
    <definedName name="__pg14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u1">#REF!</definedName>
    <definedName name="__ra15">#REF!</definedName>
    <definedName name="__ra16">#REF!</definedName>
    <definedName name="__sl1">#REF!</definedName>
    <definedName name="__tds1">#REF!</definedName>
    <definedName name="__usl1">#REF!</definedName>
    <definedName name="__xlfn.RTD">#NAME?</definedName>
    <definedName name="__xlnm._FilterDatabase">#REF!</definedName>
    <definedName name="__xlnm.Print_Area">#REF!</definedName>
    <definedName name="__xlnm.Print_Area_1">#REF!</definedName>
    <definedName name="__xlnm.Print_Area_10">#REF!</definedName>
    <definedName name="__xlnm.Print_Area_13">#REF!</definedName>
    <definedName name="__xlnm.Print_Area_2">#REF!</definedName>
    <definedName name="__xlnm.Print_Area_8">#REF!</definedName>
    <definedName name="__xlnm.Print_Area_9">#REF!</definedName>
    <definedName name="__xlnm.Print_Titles">#REF!</definedName>
    <definedName name="__xlnm.Print_Titles_1">#REF!</definedName>
    <definedName name="__xlnm.Print_Titles_12">#REF!</definedName>
    <definedName name="__xlnm.Print_Titles_13">#REF!</definedName>
    <definedName name="__xlnm.Print_Titles_14">#REF!</definedName>
    <definedName name="__xlnm.Print_Titles_15">#REF!</definedName>
    <definedName name="__xlnm.Print_Titles_5">#REF!</definedName>
    <definedName name="__xlnm.Print_Titles_6">#REF!</definedName>
    <definedName name="__xlnm.Print_Titles_8">'[7]19. Other Expenses'!#REF!</definedName>
    <definedName name="__xlnm.Print_Titles_9">#REF!</definedName>
    <definedName name="_1__123Graph_ACHART_28" hidden="1">[3]B!$D$10:$U$10</definedName>
    <definedName name="_2__123Graph_BCHART_28" hidden="1">[3]B!$D$11:$U$11</definedName>
    <definedName name="_3__123Graph_CCHART_28" hidden="1">[3]B!$D$12:$U$12</definedName>
    <definedName name="_4__123Graph_DCHART_28" hidden="1">[3]B!$D$7:$U$7</definedName>
    <definedName name="_5__123Graph_ECHART_28" hidden="1">[3]B!$D$8:$U$8</definedName>
    <definedName name="_6__123Graph_FCHART_28" hidden="1">[3]B!$D$9:$U$9</definedName>
    <definedName name="_a1">'[1]BS and P&amp;L'!#REF!</definedName>
    <definedName name="_a2">{"'Blank'!$A$1:$A$2"}</definedName>
    <definedName name="_CLA161">[2]Computation!$AJ$2:$AO$63</definedName>
    <definedName name="_CLA162">[2]Computation!$AJ$67:$AO$135</definedName>
    <definedName name="_DAT1">#REF!</definedName>
    <definedName name="_DAT2">#REF!</definedName>
    <definedName name="_DAT3">#REF!</definedName>
    <definedName name="_DAT4">#REF!</definedName>
    <definedName name="_DAT5">#REF!</definedName>
    <definedName name="_dsa56">"6UKW2D8M35PVCP8CK7JYWB8CI"</definedName>
    <definedName name="_Fill" hidden="1">#REF!</definedName>
    <definedName name="_ftn1">#N/A</definedName>
    <definedName name="_ftn2">#N/A</definedName>
    <definedName name="_ftn3">#N/A</definedName>
    <definedName name="_ftn4">#N/A</definedName>
    <definedName name="_ftn5">#N/A</definedName>
    <definedName name="_ftnref5">#N/A</definedName>
    <definedName name="_iv65540">#REF!</definedName>
    <definedName name="_Key1" hidden="1">#REF!</definedName>
    <definedName name="_New1">#REF!</definedName>
    <definedName name="_Order1">255</definedName>
    <definedName name="_Order2">255</definedName>
    <definedName name="_pg1">#REF!</definedName>
    <definedName name="_pg10">#REF!</definedName>
    <definedName name="_pg11">#REF!</definedName>
    <definedName name="_pg12">#REF!</definedName>
    <definedName name="_pg13">#REF!</definedName>
    <definedName name="_pg14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g9">#REF!</definedName>
    <definedName name="_pu1">#REF!</definedName>
    <definedName name="_ra15">#REF!</definedName>
    <definedName name="_ra16">#REF!</definedName>
    <definedName name="_Regression_Int">1</definedName>
    <definedName name="_SCB1">#REF!</definedName>
    <definedName name="_SCB2">#REF!</definedName>
    <definedName name="_sep97">#REF!</definedName>
    <definedName name="_sl1">#REF!</definedName>
    <definedName name="_Sort" hidden="1">#REF!</definedName>
    <definedName name="_tds1">#REF!</definedName>
    <definedName name="_usl1">#REF!</definedName>
    <definedName name="a">"GEA ENERGY SYSTEM (INDIA) LIMITED"</definedName>
    <definedName name="A.2">IF(TheName = "","",TheName)</definedName>
    <definedName name="a654645454545">#REF!</definedName>
    <definedName name="aa">{"'Blank'!$A$1:$A$2"}</definedName>
    <definedName name="AAA_DOCTOPS">"AAA_SET"</definedName>
    <definedName name="AAA_duser">"OFF"</definedName>
    <definedName name="aaaa">#REF!</definedName>
    <definedName name="AAAForm16">[2]Computation!$AJ$2:$AO$134</definedName>
    <definedName name="AAB_Addin5">"AAB_Description for addin 5,Description for addin 5,Description for addin 5,Description for addin 5,Description for addin 5,Description for addin 5"</definedName>
    <definedName name="AB">#REF!</definedName>
    <definedName name="Access_Button">"Loan_Front_End_Input_List"</definedName>
    <definedName name="AccessDatabase">"X:\Tax\group13\FINLRPTG\98 Consolidation\Templates\YE Workbook1999.mdb"</definedName>
    <definedName name="ACCOUNT">#REF!</definedName>
    <definedName name="Account_List">#REF!</definedName>
    <definedName name="ACK">#REF!</definedName>
    <definedName name="ACwvu.Overhead._.detail." hidden="1">#REF!</definedName>
    <definedName name="ACwvu.Profit._.report._.detailed." hidden="1">#REF!</definedName>
    <definedName name="ADDRESS">#REF!</definedName>
    <definedName name="Adj_Type">#REF!</definedName>
    <definedName name="adsf">{"'Blank'!$A$1:$A$2"}</definedName>
    <definedName name="advancetax">#REF!</definedName>
    <definedName name="advr">#REF!</definedName>
    <definedName name="Agent_fee">"i_agentfee"</definedName>
    <definedName name="akn">{"'TON'!$A$2:$L$94"}</definedName>
    <definedName name="AlbertaRate">#REF!</definedName>
    <definedName name="AlbertaTax">#REF!</definedName>
    <definedName name="AlbPYAdj">#REF!</definedName>
    <definedName name="Anand">#REF!</definedName>
    <definedName name="ANNEXURE1">#REF!</definedName>
    <definedName name="Annexure2">[8]Directors!#REF!</definedName>
    <definedName name="anscount">10</definedName>
    <definedName name="AO_Month">"As of July 31"</definedName>
    <definedName name="AprSun1">DATE(CalendarYear,4,1)-WEEKDAY(DATE(CalendarYear,4,1))+1</definedName>
    <definedName name="AprSun2">DATE(CalendarYear,4,1)-WEEKDAY(DATE(CalendarYear,4,1))+1</definedName>
    <definedName name="AS2DocOpenMode">"AS2DocumentEdit"</definedName>
    <definedName name="AS2HasNoAutoHeaderFooter">" "</definedName>
    <definedName name="AS2NamedRange">9</definedName>
    <definedName name="AS2ReportLS">1</definedName>
    <definedName name="AS2SyncStepLS">0</definedName>
    <definedName name="AS2TaxWorkpaper">" "</definedName>
    <definedName name="AS2VersionLS">300</definedName>
    <definedName name="asd">{"'TON'!$A$2:$L$94"}</definedName>
    <definedName name="asdaas">#REF!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WW">{"'CANARY'!$A$24:$U$32"}</definedName>
    <definedName name="AugSun1">DATE(CalendarYear,8,1)-WEEKDAY(DATE(CalendarYear,8,1))+1</definedName>
    <definedName name="AUST">#REF!</definedName>
    <definedName name="AUSTRALIA">#REF!</definedName>
    <definedName name="AUSTRIA">#REF!</definedName>
    <definedName name="author">"Richard Laithwaite"</definedName>
    <definedName name="AY">[9]Cap!$H$2</definedName>
    <definedName name="b">{"'Blank'!$A$1:$A$2"}</definedName>
    <definedName name="B.2">IF(TheName = "","",TheName)</definedName>
    <definedName name="B.2A">IF(TheName = "","",TheName)</definedName>
    <definedName name="bailey">{"'Blank'!$A$1:$A$2"}</definedName>
    <definedName name="BakhtaverEngineer">#REF!</definedName>
    <definedName name="BalanceSheet">0.00496527778159361</definedName>
    <definedName name="balg1">#REF!</definedName>
    <definedName name="balg2">#REF!</definedName>
    <definedName name="balg3">#REF!</definedName>
    <definedName name="Bang1">#REF!</definedName>
    <definedName name="Bang2">#REF!</definedName>
    <definedName name="BC">#REF!</definedName>
    <definedName name="BEGIN">#REF!</definedName>
    <definedName name="Beginning_Balance">-FV(Interest_Rate/12,Payment_Number-1,-Monthly_Payment,Loan_Amount)</definedName>
    <definedName name="Beurteilung">#REF!</definedName>
    <definedName name="BG_Del">15</definedName>
    <definedName name="BG_Ins">4</definedName>
    <definedName name="BG_Mod">6</definedName>
    <definedName name="Billable_Hours_for_IBS">#REF!</definedName>
    <definedName name="bkbal1">#REF!</definedName>
    <definedName name="bkbal2">#REF!</definedName>
    <definedName name="bkod">#REF!</definedName>
    <definedName name="BNE_MESSAGES_HIDDE" hidden="1">#REF!</definedName>
    <definedName name="BNE_MESSAGES_HIDDEN" hidden="1">#REF!</definedName>
    <definedName name="Bond">Facility</definedName>
    <definedName name="BORRAR">{"ocultar","kilometros",FALSE,"Hoja4"}</definedName>
    <definedName name="BORRAR2">{"ocultar","kilometros",FALSE,"Hoja4"}</definedName>
    <definedName name="BORRR">{"ocultar","kilometros",FALSE,"Hoja4"}</definedName>
    <definedName name="BORRRR">{"ocultar","kilometros",FALSE,"Hoja4"}</definedName>
    <definedName name="BS_Accounts">#REF!</definedName>
    <definedName name="Budget_Range">"$A$2:$S$300"</definedName>
    <definedName name="Budget_Worksheet">"Details - as of 10-23-96"</definedName>
    <definedName name="BuiltIn_Print_Area">#REF!</definedName>
    <definedName name="BuiltIn_Print_Area___0">#REF!</definedName>
    <definedName name="capgains">#REF!</definedName>
    <definedName name="CapitalGains_exempt_PrintArea">#REF!</definedName>
    <definedName name="CapitalGains_taxable_PrintArea">#REF!</definedName>
    <definedName name="CashflowRO_Codes" hidden="1">#REF!</definedName>
    <definedName name="CashflowRO_Details" hidden="1">#REF!</definedName>
    <definedName name="cb_Add_CalloutChart_24_opts">"1, 9, 1, False, 2, False, False, , 0, False, False, 1, 1"</definedName>
    <definedName name="cb_Add_CalloutChart_25_opts">"1, 10, 1, False, 2, False, False, , 0, False, True, 1, 1"</definedName>
    <definedName name="cb_Add_CalloutChart_26_opts">"1, 9, 1, False, 2, False, False, , 0, False, True, 1, 1"</definedName>
    <definedName name="cb_ALT_STACKED_COLUMNChart_22_opts">"1, 3, 1, False, 2, True, False, , 0, False, True, 1, 2"</definedName>
    <definedName name="cb_ALT_STACKED_COLUMNChart_23_opts">"1, 3, 1, False, 2, True, False, , 0, False, True, 1, 2"</definedName>
    <definedName name="cb_Chart_1_opts">"1, 6, 1, False, 2, False, False, , 0, False, True, 1, 2"</definedName>
    <definedName name="cb_Chart_10_opts">"1, 8, 1, False, 2, False, False, , 0, False, False, 1, 1"</definedName>
    <definedName name="cb_Chart_100032_opts">"1, 10, 1, False, 2, True, False, , 0, False, False, 2, 2"</definedName>
    <definedName name="cb_Chart_10104_opts">"1, 5, 1, False, 2, True, False, , 0, True, False, 2, 1"</definedName>
    <definedName name="cb_Chart_10401_opts">"1, 5, 1, False, 2, False, False, , 0, True, False, 2, 1"</definedName>
    <definedName name="cb_Chart_10736_opts">"1, 10, 1, False, 2, False, False, , 0, False, False, 2, 2"</definedName>
    <definedName name="cb_Chart_11_opts">"1, 5, 1, False, 2, False, False, , 0, False, False, 1, 2"</definedName>
    <definedName name="cb_Chart_12_opts">"1, 5, 1, False, 2, True, False, , 0, True, False, 1, 2"</definedName>
    <definedName name="cb_Chart_13_opts">"1, 5, 1, False, 2, True, False, , 0, True, False, 1, 2"</definedName>
    <definedName name="cb_Chart_14_opts">"2, 2, 2, True, 2, False, False, , 0, False, True, 1, 2"</definedName>
    <definedName name="cb_Chart_15_opts">"2, 1, 2, True, 2, False, False, , 0, False, True, 1, 2"</definedName>
    <definedName name="cb_Chart_1501_opts">"1, 10, 1, False, 2, True, False, , 0, False, False, 2, 2"</definedName>
    <definedName name="cb_Chart_16_opts">"2, 1, 2, True, 2, False, False, , 0, False, True, 1, 2"</definedName>
    <definedName name="cb_Chart_1670_opts">"1, 5, 1, False, 2, True, False, , 0, False, False, 2, 1"</definedName>
    <definedName name="cb_Chart_17_opts">"1, 9, 1, False, 2, False, False, , 0, False, False, 1, 1"</definedName>
    <definedName name="cb_Chart_18_opts">"1, 9, 1, False, 2, False, False, , 0, False, False, 1, 1"</definedName>
    <definedName name="cb_Chart_19_opts">"1, 2, 1, False, 2, True, False, , 0, True, False, 2, 1"</definedName>
    <definedName name="cb_Chart_2_opts">"1, 6, 1, False, 2, False, False, , 0, False, False, 1, 2"</definedName>
    <definedName name="cb_Chart_20_opts">"1, 9, 1, False, 2, False, False, , 0, False, False, 1, 1"</definedName>
    <definedName name="cb_Chart_21_opts">"1, 2, 1, False, 2, False, False, , 0, False, False, 2, 1"</definedName>
    <definedName name="cb_Chart_22_opts">"1, 2, 1, False, 2, True, False, , 0, False, False, 2, 1"</definedName>
    <definedName name="cb_Chart_22784_opts">"1, 9, 1, False, 2, False, False, , 0, False, True, 1, 2"</definedName>
    <definedName name="cb_Chart_23_opts">"1, 9, 1, False, 2, False, False, , 0, False, False, 1, 1"</definedName>
    <definedName name="cb_Chart_24_opts">"1, 2, 1, False, 2, False, False, , 0, False, False, 2, 1"</definedName>
    <definedName name="cb_Chart_24490_opts">"1, 10, 1, False, 2, True, False, , 0, False, False, 2, 2"</definedName>
    <definedName name="cb_Chart_25_opts">"1, 3, 1, False, 2, False, False, , 0, True, True, 1, 2"</definedName>
    <definedName name="cb_Chart_26_opts">"1, 2, 1, False, 2, False, False, , 0, False, False, 2, 1"</definedName>
    <definedName name="cb_Chart_26476_opts">"1, 1, 1, False, 2, True, False, , 0, False, False, 1, 2"</definedName>
    <definedName name="cb_Chart_27_opts">"1, 1, 1, False, 2, True, False, , 0, False, True, 1, 2"</definedName>
    <definedName name="cb_Chart_28_opts">"1, 3, 1, False, 2, True, False, , 0, False, True, 1, 2"</definedName>
    <definedName name="cb_Chart_28031_opts">"1, 1, 1, False, 2, True, False, , 0, False, False, 1, 2"</definedName>
    <definedName name="cb_Chart_28545_opts">"1, 5, 1, False, 2, True, False, , 0, False, True, 2, 1"</definedName>
    <definedName name="cb_Chart_29_opts">"1, 3, 1, False, 2, False, False, , 0, False, False, 1, 1"</definedName>
    <definedName name="cb_Chart_29053_opts">"1, 10, 1, False, 2, True, False, , 0, False, False, 2, 2"</definedName>
    <definedName name="cb_Chart_29913_opts">"1, 1, 1, False, 2, False, False, , 0, False, False, 1, 1"</definedName>
    <definedName name="cb_Chart_3_opts">"1, 1, 1, False, 2, True, False, , 0, False, False, 2, 2"</definedName>
    <definedName name="cb_Chart_30_opts">"1, 3, 1, False, 2, True, False, , 0, False, True, 1, 2"</definedName>
    <definedName name="cb_Chart_30292_opts">"1, 1, 1, False, 2, False, False, , 0, False, False, 1, 2"</definedName>
    <definedName name="cb_Chart_31_opts">"1, 1, 1, False, 2, True, False, , 0, True, True, 2, 2"</definedName>
    <definedName name="cb_Chart_32_opts">"1, 1, 1, False, 2, True, False, , 0, False, False, 2, 2"</definedName>
    <definedName name="cb_Chart_33_opts">"1, 1, 1, False, 2, True, False, , 0, False, True, 3, 2"</definedName>
    <definedName name="cb_Chart_34_opts">"1, 10, 1, False, 2, True, False, , 0, False, False, 2, 2"</definedName>
    <definedName name="cb_Chart_36498_opts">"1, 1, 1, False, 2, True, False, , 0, False, False, 1, 2"</definedName>
    <definedName name="cb_Chart_37450_opts">"1, 10, 1, False, 2, True, False, , 0, False, False, 2, 2"</definedName>
    <definedName name="cb_Chart_4_opts">"1, 7, 1, False, 2, False, False, , 0, False, True, 1, 2"</definedName>
    <definedName name="cb_Chart_41_opts">"1, 10, 1, False, 2, True, False, , 0, False, False, 2, 1"</definedName>
    <definedName name="cb_Chart_41499_opts">"1, 10, 1, False, 2, True, False, , 0, False, False, 2, 2"</definedName>
    <definedName name="cb_Chart_42_opts">"1, 10, 1, False, 2, True, False, , 0, False, False, 2, 1"</definedName>
    <definedName name="cb_Chart_43_opts">"1, 10, 1, False, 2, True, False, , 0, False, False, 2, 1"</definedName>
    <definedName name="cb_Chart_4634_opts">"1, 10, 1, False, 2, True, False, , 0, False, False, 2, 2"</definedName>
    <definedName name="cb_Chart_4664_opts">"1, 5, 1, False, 2, True, False, , 0, False, True, 1, 2"</definedName>
    <definedName name="cb_Chart_46965_opts">"1, 1, 1, False, 2, False, False, , 0, False, False, 1, 1"</definedName>
    <definedName name="cb_Chart_5_opts">"1, 8, 1, False, 2, False, False, , 0, False, False, 1, 2"</definedName>
    <definedName name="cb_Chart_52582_opts">"1, 1, 1, False, 2, False, False, , 0, False, False, 1, 2"</definedName>
    <definedName name="cb_Chart_53437_opts">"1, 10, 1, False, 2, True, False, , 0, False, False, 2, 2"</definedName>
    <definedName name="cb_Chart_53482_opts">"1, 10, 1, False, 2, True, False, , 0, False, False, 2, 2"</definedName>
    <definedName name="cb_Chart_54_opts">"1, 3, 1, False, 2, False, False, , 0, False, True, 2, 2"</definedName>
    <definedName name="cb_Chart_5449_opts">"1, 1, 1, False, 2, False, False, , 0, False, False, 1, 1"</definedName>
    <definedName name="cb_Chart_5723_opts">"1, 1, 1, False, 2, True, False, , 0, False, True, 1, 2"</definedName>
    <definedName name="cb_Chart_57613_opts">"1, 5, 1, False, 2, True, False, , 0, False, True, 2, 1"</definedName>
    <definedName name="cb_Chart_58046_opts">"1, 10, 1, False, 2, True, False, , 0, False, False, 2, 2"</definedName>
    <definedName name="cb_Chart_59010_opts">"1, 2, 1, False, 2, False, False, , 0, False, False, 2, 1"</definedName>
    <definedName name="cb_Chart_59340_opts">"1, 1, 1, False, 2, False, False, , 0, False, False, 1, 1"</definedName>
    <definedName name="cb_Chart_6_opts">"1, 10, 1, False, 2, True, False, , 0, False, False, 2, 2"</definedName>
    <definedName name="cb_Chart_62364_opts">"1, 1, 1, False, 2, True, False, , 0, False, False, 1, 2"</definedName>
    <definedName name="cb_Chart_64876_opts">"1, 1, 1, False, 2, True, False, , 0, False, False, 1, 2"</definedName>
    <definedName name="cb_Chart_67711_opts">"1, 10, 1, False, 2, True, False, , 0, False, False, 2, 2"</definedName>
    <definedName name="cb_Chart_69605_opts">"1, 2, 1, False, 2, False, False, , 0, False, False, 2, 1"</definedName>
    <definedName name="cb_Chart_7_opts">"2, 1, 2, True, 2, False, False, , 0, False, True, 1, 2"</definedName>
    <definedName name="cb_Chart_70_opts">"1, 10, 1, False, 2, True, False, , 0, False, False, 1, 1"</definedName>
    <definedName name="cb_Chart_70648_opts">"1, 1, 1, False, 2, True, False, , 0, False, False, 2, 2"</definedName>
    <definedName name="cb_Chart_70997_opts">"1, 10, 1, False, 2, False, False, , 0, False, False, 1, 1"</definedName>
    <definedName name="cb_Chart_71_opts">"1, 10, 1, False, 2, False, False, , 0, False, False, 1, 1"</definedName>
    <definedName name="cb_Chart_72_opts">"1, 10, 1, False, 2, True, False, , 0, False, False, 1, 1"</definedName>
    <definedName name="cb_Chart_73_opts">"1, 10, 1, False, 2, False, False, , 0, False, False, 1, 1"</definedName>
    <definedName name="cb_Chart_76165_opts">"1, 10, 1, False, 2, True, False, , 0, False, False, 2, 2"</definedName>
    <definedName name="cb_Chart_76804_opts">"1, 1, 1, False, 2, False, False, , 0, False, False, 1, 1"</definedName>
    <definedName name="cb_Chart_77567_opts">"1, 10, 1, False, 2, False, False, , 0, False, False, 1, 1"</definedName>
    <definedName name="cb_Chart_79140_opts">"1, 10, 1, False, 2, True, False, , 0, False, False, 2, 2"</definedName>
    <definedName name="cb_Chart_79981_opts">"1, 5, 1, False, 2, True, False, , 0, True, False, 2, 1"</definedName>
    <definedName name="cb_Chart_8_opts">"2, 1, 2, True, 2, False, False, , 0, False, True, 1, 2"</definedName>
    <definedName name="cb_Chart_81541_opts">"1, 10, 1, False, 2, True, False, , 0, False, False, 2, 2"</definedName>
    <definedName name="cb_Chart_82552_opts">"1, 1, 1, False, 2, True, False, , 0, False, False, 1, 2"</definedName>
    <definedName name="cb_Chart_83072_opts">"1, 1, 1, False, 2, True, False, , 0, False, False, 1, 2"</definedName>
    <definedName name="cb_Chart_86354_opts">"1, 10, 1, False, 2, False, False, , 0, False, False, 1, 1"</definedName>
    <definedName name="cb_Chart_87236_opts">"1, 1, 1, False, 2, True, False, , 0, False, False, 1, 2"</definedName>
    <definedName name="cb_Chart_9_opts">"1, 8, 1, False, 2, False, False, , 0, False, False, 1, 1"</definedName>
    <definedName name="cb_Chart_91188_opts">"1, 8, 1, False, 2, False, False, , 0, False, False, 1, 2"</definedName>
    <definedName name="cb_Chart_95047_opts">"1, 1, 1, False, 2, False, False, , 0, False, False, 1, 2"</definedName>
    <definedName name="cb_Chart_96286_opts">"1, 10, 1, False, 2, True, False, , 0, False, False, 2, 2"</definedName>
    <definedName name="cb_Chart_98091_opts">"1, 2, 1, False, 2, False, False, , 0, False, False, 2, 1"</definedName>
    <definedName name="cb_Chart_98700_opts">"1, 8, 1, False, 2, False, False, , 0, False, False, 1, 2"</definedName>
    <definedName name="cb_Copy_Chart_w_New_DataChart_10_opts">"2, 1, 1, True, 4, False, False, , 0, False, False, 2, 2"</definedName>
    <definedName name="cb_Copy_Chart_w_New_DataChart_7_opts">"2, 1, 1, True, 4, False, False, , 0, False, False, 2, 2"</definedName>
    <definedName name="cb_Copy_Chart_w_New_DataChart_8_opts">"2, 1, 1, True, 4, False, False, , 0, False, False, 2, 2"</definedName>
    <definedName name="cb_Copy_Chart_w_New_DataChart_9_opts">"2, 1, 1, True, 4, False, False, , 0, False, False, 2, 2"</definedName>
    <definedName name="cb_Dimension_Pie_ChartsChart_1_opts">"1, 1, 1, False, 2, True, False, , 0, False, False, 2, 2"</definedName>
    <definedName name="cb_Dimension_Pie_ChartsChart_2_opts">"1, 10, 1, False, 2, True, False, , 0, False, False, 2, 2"</definedName>
    <definedName name="cb_Export_LegendChart_14_opts">"1, 10, 1, False, 2, True, False, , 0, False, False, 2, 2"</definedName>
    <definedName name="cb_Export_LegendChart_15_opts">"1, 10, 1, False, 2, True, False, , 0, False, False, 2, 2"</definedName>
    <definedName name="cb_PieChart_16_opts">"1, 10, 1, False, 2, True, False, , 0, False, False, 2, 2"</definedName>
    <definedName name="cb_sChart_1501_opts">"1, 2, 1, False, 2, False, False, , 0, False, False, 2, 1"</definedName>
    <definedName name="cb_sChart_26476_opts">"1, 4, 1, False, 2, True, False, , 0, False, False, 1, 2"</definedName>
    <definedName name="cb_sChart_28031_opts">"1, 4, 1, False, 2, True, False, , 0, False, False, 1, 1"</definedName>
    <definedName name="cb_sChart_29053_opts">"1, 2, 1, False, 2, False, False, , 0, False, False, 2, 1"</definedName>
    <definedName name="cb_sChart_29913_opts">"1, 3, 1, False, 2, False, False, , 0, False, True, 2, 2"</definedName>
    <definedName name="cb_sChart_30292_opts">"1, 2, 1, False, 2, False, False, , 0, False, False, 2, 1"</definedName>
    <definedName name="cb_sChart_36498_opts">"1, 3, 1, False, 2, False, False, , 0, False, False, 1, 2"</definedName>
    <definedName name="cb_sChart_37450_opts">"1, 1, 1, False, 2, True, False, , 0, False, False, 1, 2"</definedName>
    <definedName name="cb_sChart_41499_opts">"1, 2, 1, False, 2, False, False, , 0, False, False, 2, 1"</definedName>
    <definedName name="cb_sChart_4634_opts">"1, 2, 1, False, 2, False, False, , 0, False, False, 2, 1"</definedName>
    <definedName name="cb_sChart_46965_opts">"1, 1, 1, False, 2, False, False, , 0, False, False, 1, 1"</definedName>
    <definedName name="cb_sChart_52582_opts">"1, 5, 1, False, 2, False, False, , 0, False, True, 1, 2"</definedName>
    <definedName name="cb_sChart_53437_opts">"1, 1, 1, False, 2, True, False, , 0, False, False, 1, 2"</definedName>
    <definedName name="cb_sChart_5449_opts">"1, 3, 1, False, 2, False, False, , 0, False, True, 2, 2"</definedName>
    <definedName name="cb_sChart_5723_opts">"1, 1, 1, False, 2, True, False, , 0, False, False, 2, 1"</definedName>
    <definedName name="cb_sChart_58046_opts">"1, 1, 1, False, 2, True, False, , 0, False, False, 1, 2"</definedName>
    <definedName name="cb_sChart_59010_opts">"1, 5, 1, False, 2, True, False, , 0, False, False, 2, 1"</definedName>
    <definedName name="cb_sChart_59340_opts">"1, 3, 1, False, 2, False, False, , 0, False, True, 2, 2"</definedName>
    <definedName name="cb_sChart_62364_opts">"1, 3, 1, False, 2, False, False, , 0, False, True, 2, 2"</definedName>
    <definedName name="cb_sChart_64876_opts">"1, 5, 1, False, 2, True, False, , 0, False, False, 2, 2"</definedName>
    <definedName name="cb_sChart_70648_opts">"1, 1, 1, False, 2, False, False, , 0, False, False, 1, 1"</definedName>
    <definedName name="cb_sChart_70997_opts">"1, 2, 1, False, 2, False, False, , 0, False, False, 2, 1"</definedName>
    <definedName name="cb_sChart_76165_opts">"1, 2, 1, False, 2, False, False, , 0, False, False, 2, 1"</definedName>
    <definedName name="cb_sChart_76804_opts">"1, 3, 1, False, 2, False, False, , 0, False, True, 2, 2"</definedName>
    <definedName name="cb_sChart_77567_opts">"1, 2, 1, False, 2, False, False, , 0, False, False, 2, 1"</definedName>
    <definedName name="cb_sChart_79140_opts">"1, 1, 1, False, 2, True, False, , 0, False, False, 1, 2"</definedName>
    <definedName name="cb_sChart_81541_opts">"1, 2, 1, False, 2, False, False, , 0, False, False, 2, 1"</definedName>
    <definedName name="cb_sChart_82552_opts">"1, 4, 1, False, 2, True, False, , 0, False, False, 2, 1"</definedName>
    <definedName name="cb_sChart_83072_opts">"1, 4, 1, False, 2, True, False, , 0, False, False, 2, 1"</definedName>
    <definedName name="cb_sChart_86354_opts">"1, 1, 1, False, 2, True, False, , 0, False, False, 1, 2"</definedName>
    <definedName name="cb_sChart_87236_opts">"1, 2, 1, False, 2, False, False, , 0, False, False, 2, 1"</definedName>
    <definedName name="cb_sChart_95047_opts">"1, 3, 1, False, 2, False, False, , 0, False, False, 1, 2"</definedName>
    <definedName name="cb_sChart_96286_opts">"1, 2, 1, False, 2, False, False, , 0, False, False, 2, 1"</definedName>
    <definedName name="cb_sChart10D6460A_opts">"1, 1, 1, False, 2, True, False, , 0, False, False, 1, 1"</definedName>
    <definedName name="cb_sChart10D65256_opts">"1, 1, 1, False, 2, True, False, , 0, False, False, 1, 1"</definedName>
    <definedName name="cb_sChart10D653EB_opts">"1, 1, 1, False, 2, True, False, , 0, False, False, 1, 1"</definedName>
    <definedName name="cb_sChart10D65893_opts">"1, 1, 1, False, 2, True, False, , 0, False, False, 1, 1"</definedName>
    <definedName name="cb_sChart11DCFB24_opts">"1, 9, 1, False, 2, False, False, , 0, False, True, 1, 1"</definedName>
    <definedName name="cb_sChart11EADA92_opts">"1, 1, 1, False, 2, False, False, , 0, False, True, 2, 2"</definedName>
    <definedName name="cb_sChart11EAED4A_opts">"1, 1, 1, False, 2, False, False, , 0, False, True, 2, 2"</definedName>
    <definedName name="cb_sChart11EB049E_opts">"1, 1, 1, False, 2, False, False, , 0, False, True, 2, 2"</definedName>
    <definedName name="cb_sChart11FB1BDC_opts">"1, 1, 1, False, 2, True, False, , 0, False, True, 2, 2"</definedName>
    <definedName name="cb_sChart11FB2467_opts">"1, 1, 1, False, 2, True, False, , 0, False, True, 2, 2"</definedName>
    <definedName name="cb_sChart11FB271E_opts">"1, 1, 1, False, 2, True, False, , 0, False, True, 2, 2"</definedName>
    <definedName name="cb_sChart11FB296C_opts">"1, 1, 1, False, 2, True, False, , 0, False, True, 2, 2"</definedName>
    <definedName name="cb_sChart11FB4DE8_opts">"1, 9, 1, False, 2, False, False, , 0, False, True, 1, 2"</definedName>
    <definedName name="cb_sChart11FCA363_opts">"2, 1, 2, True, 2, False, False, , 0, False, True, 2, 2"</definedName>
    <definedName name="cb_sChart11FCA851_opts">"2, 1, 2, True, 2, False, False, , 0, False, True, 2, 2"</definedName>
    <definedName name="cb_sChart11FCE81C_opts">"1, 9, 1, False, 2, False, False, , 0, False, True, 2, 2"</definedName>
    <definedName name="cb_sChart12073B79_opts">"1, 9, 1, False, 2, False, False, , 0, False, True, 2, 2"</definedName>
    <definedName name="cb_sChart12074F69_opts">"1, 9, 1, False, 2, False, False, , 0, False, True, 2, 2"</definedName>
    <definedName name="cb_sChart1216F828_opts">"2, 1, 1, False, 2, False, False, , 0, False, True, 2, 2"</definedName>
    <definedName name="cb_sChart122574E1_opts">"1, 1, 1, False, 2, False, False, , 0, False, True, 2, 2"</definedName>
    <definedName name="cb_sChart12285211_opts">"1, 9, 1, False, 2, False, False, , 0, False, False, 1, 2"</definedName>
    <definedName name="cb_sChart12291B1F_opts">"2, 1, 1, True, 3, False, False, , 0, False, False, 1, 2"</definedName>
    <definedName name="cb_sChart1248DE96_opts">"1, 9, 1, False, 2, False, False, , 0, False, False, 1, 2"</definedName>
    <definedName name="cb_sChart1248E206_opts">"1, 9, 1, False, 2, False, False, , 0, False, False, 1, 2"</definedName>
    <definedName name="cb_sChart13E9564D_opts">"1, 10, 1, False, 2, False, False, , 0, False, True, 2, 1"</definedName>
    <definedName name="cb_sChart13E9574C_opts">"1, 10, 1, False, 2, False, False, , 0, False, False, 2, 1"</definedName>
    <definedName name="cb_sChart1401F7BB_opts">"1, 10, 1, False, 2, False, False, , 0, False, False, 2, 1"</definedName>
    <definedName name="cb_sChart1401F88B_opts">"1, 10, 1, False, 2, False, False, , 0, False, False, 2, 1"</definedName>
    <definedName name="cb_sChart1401F9C4_opts">"1, 10, 1, False, 2, False, False, , 0, False, False, 2, 1"</definedName>
    <definedName name="cb_sChart1401FA71_opts">"1, 10, 1, False, 2, False, False, , 0, False, False, 2, 1"</definedName>
    <definedName name="cb_sChart1403FD66_opts">"1, 10, 1, False, 2, False, False, , 0, False, False, 2, 1"</definedName>
    <definedName name="cb_sChart140400A7_opts">"1, 10, 1, False, 2, False, False, , 0, False, False, 2, 1"</definedName>
    <definedName name="cb_sChart1406555A_opts">"1, 5, 1, False, 2, False, False, , 0, False, False, 1, 1"</definedName>
    <definedName name="cb_sChart140655E5_opts">"1, 3, 1, False, 2, False, False, , 0, False, False, 1, 1"</definedName>
    <definedName name="cb_sChart1406581C_opts">"1, 3, 1, False, 2, False, False, , 0, False, False, 1, 1"</definedName>
    <definedName name="cb_sChart14065ADE_opts">"1, 3, 1, False, 2, False, False, , 0, False, True, 1, 1"</definedName>
    <definedName name="cb_sChart14065BA3_opts">"1, 5, 1, False, 2, False, False, , 0, False, False, 1, 1"</definedName>
    <definedName name="cb_sChart15A07AA4_opts">"1, 9, 1, False, 2, False, False, , 0, False, False, 1, 2"</definedName>
    <definedName name="cb_sChart15A0819A_opts">"1, 4, 1, False, 2, False, False, , 0, False, False, 2, 1"</definedName>
    <definedName name="cb_sChart15A0820E_opts">"1, 1, 1, False, 2, False, False, , 0, False, False, 2, 2"</definedName>
    <definedName name="cb_sChart15A08324_opts">"1, 4, 1, False, 2, False, False, , 0, False, False, 1, 1"</definedName>
    <definedName name="cb_sChart15A083DD_opts">"1, 4, 1, False, 2, False, False, , 0, False, False, 1, 1"</definedName>
    <definedName name="cb_sChart15A08496_opts">"1, 1, 1, False, 2, False, False, , 0, False, False, 2, 2"</definedName>
    <definedName name="cb_sChart15A084F3_opts">"1, 1, 1, False, 2, False, False, , 0, False, False, 1, 1"</definedName>
    <definedName name="cb_sChart15A173D8_opts">"1, 4, 1, False, 2, False, False, , 0, False, False, 1, 1"</definedName>
    <definedName name="cb_sChart15A17491_opts">"1, 4, 1, False, 2, False, False, , 0, False, False, 1, 1"</definedName>
    <definedName name="cb_sChart15A1751C_opts">"1, 4, 1, False, 2, False, False, , 0, False, False, 1, 1"</definedName>
    <definedName name="cb_sChart15A17590_opts">"1, 4, 1, False, 2, False, False, , 0, False, False, 1, 1"</definedName>
    <definedName name="cb_sChart15A17869_opts">"1, 4, 1, False, 2, False, False, , 0, False, False, 1, 1"</definedName>
    <definedName name="cb_sChart15A178E8_opts">"1, 4, 1, False, 2, False, False, , 0, False, False, 2, 1"</definedName>
    <definedName name="cb_sChart15A17968_opts">"1, 4, 1, False, 2, False, False, , 0, False, False, 1, 1"</definedName>
    <definedName name="cb_sChart15A179F2_opts">"1, 1, 1, False, 2, False, False, , 0, False, False, 2, 1"</definedName>
    <definedName name="cb_sChart15A17A7D_opts">"1, 4, 1, False, 2, False, False, , 0, False, False, 1, 1"</definedName>
    <definedName name="cb_sChart15A17B08_opts">"1, 1, 1, False, 2, False, False, , 0, False, False, 2, 2"</definedName>
    <definedName name="cb_sChart161DB88B_opts">"1, 9, 1, False, 2, False, False, , 0, False, True, 1, 1"</definedName>
    <definedName name="cb_sChart161DBB4D_opts">"1, 1, 1, False, 2, False, False, , 0, False, True, 1, 1"</definedName>
    <definedName name="cb_sChartD68BCC9_opts">"1, 1, 1, False, 2, True, False, , 0, False, True, 1, 1"</definedName>
    <definedName name="cb_sChartD6B06A2_opts">"1, 1, 1, False, 2, False, False, , 0, False, False, 2, 2"</definedName>
    <definedName name="cb_sChartD6B1FA3_opts">"1, 1, 1, False, 2, False, False, , 0, False, False, 2, 2"</definedName>
    <definedName name="cb_sChartD6B69B1_opts">"1, 1, 1, False, 2, False, False, , 0, False, False, 1, 2"</definedName>
    <definedName name="cb_sChartD6B76F0_opts">"2, 1, 1, False, 2, False, False, , 0, False, False, 1, 2"</definedName>
    <definedName name="cb_sChartD6B943C_opts">"2, 1, 1, False, 3, False, False, , 0, False, False, 1, 2"</definedName>
    <definedName name="cb_sChartD6C1C01_opts">"2, 1, 1, True, 2, False, False, , 0, False, False, 1, 2"</definedName>
    <definedName name="cb_sChartD6FD60D_opts">"1, 1, 1, False, 2, False, False, , 0, False, False, 1, 1"</definedName>
    <definedName name="cb_sChartD78B484_opts">"2, 1, 1, False, 2, True, False, , 0, False, False, 1, 2"</definedName>
    <definedName name="cb_sChartD78C2AA_opts">"2, 1, 1, True, 2, True, False, , 0, False, False, 1, 2"</definedName>
    <definedName name="cb_sChartD78C76A_opts">"2, 1, 1, True, 2, True, False, , 0, False, False, 1, 1"</definedName>
    <definedName name="cb_sChartD78CF99_opts">"2, 1, 3, True, 2, False, False, , 0, False, False, 1, 1"</definedName>
    <definedName name="cb_sChartD78D2CE_opts">"1, 1, 1, False, 2, False, False, , 0, False, False, 1, 2"</definedName>
    <definedName name="cb_sChartD78D365_opts">"1, 1, 1, False, 2, False, False, , 0, False, False, 1, 2"</definedName>
    <definedName name="cb_sChartD78D5B3_opts">"1, 1, 1, False, 2, False, False, , 0, False, False, 1, 2"</definedName>
    <definedName name="cb_sChartD78D655_opts">"1, 1, 1, False, 2, True, False, , 0, False, False, 1, 2"</definedName>
    <definedName name="cb_sChartD78DFD4_opts">"2, 1, 1, True, 2, False, False, , 0, False, False, 1, 2"</definedName>
    <definedName name="cb_sChartD78E27F_opts">"2, 1, 1, True, 2, False, False, , 0, False, False, 1, 2"</definedName>
    <definedName name="cb_sChartD78E924_opts">"2, 1, 1, True, 3, False, False, , 0, False, False, 1, 2"</definedName>
    <definedName name="cb_sChartD7A9852_opts">"2, 1, 1, True, 3, False, False, , 0, False, False, 1, 2"</definedName>
    <definedName name="cb_sChartEE4CE1B_opts">"1, 4, 1, False, 2, False, False, , 0, False, False, 1, 1"</definedName>
    <definedName name="cb_sChartEE4CF99_opts">"1, 1, 1, False, 2, False, False, , 0, False, False, 1, 1"</definedName>
    <definedName name="cb_sChartEE4DD06_opts">"1, 1, 1, False, 2, False, False, , 0, False, False, 1, 2"</definedName>
    <definedName name="cb_sChartEE4E93B_opts">"1, 1, 1, False, 2, False, False, , 0, False, False, 1, 1"</definedName>
    <definedName name="cb_sChartEE51E95_opts">"1, 1, 1, False, 2, False, False, , 0, False, False, 1, 1"</definedName>
    <definedName name="cb_sChartEED7645_opts">"1, 1, 1, False, 2, False, False, , 0, False, False, 1, 1"</definedName>
    <definedName name="cb_sChartEEDA195_opts">"1, 1, 1, False, 2, False, False, , 0, False, False, 1, 1"</definedName>
    <definedName name="cb_sChartEEDC338_opts">"1, 1, 1, False, 2, False, False, , 0, False, False, 1, 1"</definedName>
    <definedName name="cb_sChartEEDEDB8_opts">"1, 1, 1, False, 2, False, False, , 0, False, True, 1, 1"</definedName>
    <definedName name="cb_sChartEEDEE5A_opts">"1, 3, 1, False, 2, True, False, , 0, False, True, 1, 1"</definedName>
    <definedName name="cb_sChartEEDF178_opts">"1, 3, 1, False, 2, False, False, , 0, False, True, 1, 1"</definedName>
    <definedName name="cb_sChartF6A6B11_opts">"1, 1, 1, False, 2, True, False, , 0, False, False, 1, 1"</definedName>
    <definedName name="cb_sChartFD191DC_opts">"1, 3, 1, False, 2, True, False, , 0, False, True, 1, 1"</definedName>
    <definedName name="cb_sChartFD1A245_opts">"1, 3, 1, False, 2, True, False, , 0, False, True, 1, 1"</definedName>
    <definedName name="cb_sChartFD3F0E9_opts">"1, 3, 1, False, 2, True, False, , 0, False, False, 1, 1"</definedName>
    <definedName name="cb_sChartFD3F27E_opts">"1, 3, 1, False, 2, True, False, , 0, False, True, 1, 1"</definedName>
    <definedName name="cb_sChartFD58483_opts">"1, 1, 1, False, 2, True, False, , 0, False, False, 1, 1"</definedName>
    <definedName name="cb_sChartFD5C4CD_opts">"1, 1, 1, False, 2, True, False, , 0, False, False, 1, 1"</definedName>
    <definedName name="cb_sChartFD5D4CE_opts">"1, 1, 1, False, 2, True, False, , 0, False, False, 1, 1"</definedName>
    <definedName name="cb_sChartFD5DF34_opts">"1, 1, 1, False, 2, True, False, , 0, False, False, 1, 1"</definedName>
    <definedName name="cb_sChartFD5EFC0_opts">"1, 1, 1, False, 2, True, False, , 0, False, False, 1, 1"</definedName>
    <definedName name="cb_sChartFD5FDB9_opts">"1, 1, 1, False, 2, True, False, , 0, False, False, 1, 1"</definedName>
    <definedName name="cb_sChartFE54712_opts">"1, 3, 1, False, 2, True, False, , 0, False, True, 1, 1"</definedName>
    <definedName name="cb_Size_by_height_and_widthChart_16_opts">"1, 4, 1, False, 2, False, False, , 0, False, False, 1, 1"</definedName>
    <definedName name="cb_Size_by_height_and_widthChart_7_opts">"1, 4, 1, False, 2, False, False, , 0, False, False, 1, 1"</definedName>
    <definedName name="cb_Size_by_height_and_widthChart_8_opts">"1, 4, 1, False, 2, False, False, , 0, False, False, 1, 1"</definedName>
    <definedName name="CCA">#REF!</definedName>
    <definedName name="CCCCCCCCCC">{"ocultar","kilometros",FALSE,"Hoja4"}</definedName>
    <definedName name="CCCCCCCCCCCC">{"ocultar","kilometros",FALSE,"Hoja4"}</definedName>
    <definedName name="CCCCCCCCCCCCCCCCCCCC">{"ocultar","kilometros",FALSE,"Hoja4"}</definedName>
    <definedName name="CCCCCCCCCCCCCCCCCCCCCCC">{"ocultar","kilometros",FALSE,"Hoja4"}</definedName>
    <definedName name="CECDed">#REF!</definedName>
    <definedName name="ClientName">#REF!</definedName>
    <definedName name="ClosingReserve">#REF!</definedName>
    <definedName name="COF_Memo_Input">"COF_Memo_Box"</definedName>
    <definedName name="COF_Over_Input">"COF_Override_Box"</definedName>
    <definedName name="COGS">#REF!</definedName>
    <definedName name="columnoffset">4</definedName>
    <definedName name="COMP">#REF!</definedName>
    <definedName name="comp1">#REF!</definedName>
    <definedName name="Computation">#REF!</definedName>
    <definedName name="COMPUTATION_OF_INTEREST_UNDER_SECTION_234_C">#REF!</definedName>
    <definedName name="Computers">#REF!</definedName>
    <definedName name="CONTINUE">#REF!</definedName>
    <definedName name="Continuity">'[10]Caption List'!$AX$12:$BE$48</definedName>
    <definedName name="_xlnm.Criteria">#REF!</definedName>
    <definedName name="csDesignMode">1</definedName>
    <definedName name="CurrencyDisplay">[11]Input!$A$4</definedName>
    <definedName name="CurrTaxExp">'[12]Step 1 - Current Taxes'!$E$226</definedName>
    <definedName name="CurrYear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data">#N/A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_xlnm.Data_Form">[0]!_xlnm.Data_Form</definedName>
    <definedName name="DATA11">'[13]ICICI &amp; TMBL interest'!$J$4:$J$28</definedName>
    <definedName name="DATA4">[14]Subscription!$D$2:$D$171</definedName>
    <definedName name="DATA8">'[14]4219020-SIE Advert'!$H$2:$H$45</definedName>
    <definedName name="_xlnm.Database">#REF!</definedName>
    <definedName name="Date_Current">'[15]Template Instructions'!$L$4</definedName>
    <definedName name="dbo_TimeSheetOnProjects">#REF!</definedName>
    <definedName name="dddddddd">{"' calendrier 2000'!$A$1:$Q$38"}</definedName>
    <definedName name="ddddddddddddddd">{"ocultar","kilometros",FALSE,"Hoja4"}</definedName>
    <definedName name="de">{"' calendrier 2000'!$A$1:$Q$38"}</definedName>
    <definedName name="DecSun1">DATE(CalendarYear,12,1)-WEEKDAY(DATE(CalendarYear,12,1))+1</definedName>
    <definedName name="DefExpNewBusDetails" hidden="1">#REF!</definedName>
    <definedName name="DefExpTendDetails" hidden="1">#REF!</definedName>
    <definedName name="deff">#REF!</definedName>
    <definedName name="Deffered" hidden="1">#REF!</definedName>
    <definedName name="DeltaColumnOffset">4</definedName>
    <definedName name="DEP">#REF!</definedName>
    <definedName name="DEPN">#REF!</definedName>
    <definedName name="deposit">#REF!</definedName>
    <definedName name="Depreciation">#REF!</definedName>
    <definedName name="dfsd">36734.4326054397</definedName>
    <definedName name="DIFD">'[12]Step 5 - Rate Reconciliation'!#REF!</definedName>
    <definedName name="DIFP">'[12]Step 5 - Rate Reconciliation'!#REF!</definedName>
    <definedName name="distrib" hidden="1">{#N/A,#N/A,FALSE,"Sheet10"}</definedName>
    <definedName name="dkfjal" hidden="1">#REF!</definedName>
    <definedName name="DME_Dirty" hidden="1">"False"</definedName>
    <definedName name="DME_LocalFile" hidden="1">"True"</definedName>
    <definedName name="Dollar_Rate">'[16]Simulator Detail'!$K$1</definedName>
    <definedName name="DRE_P_Flor" hidden="1">#REF!</definedName>
    <definedName name="DRE_P_Trad" hidden="1">#REF!</definedName>
    <definedName name="EndBalance">#REF!</definedName>
    <definedName name="Ending_Balance">-FV(Interest_Rate/12,Payment_Number,-Monthly_Payment,Loan_Amount)</definedName>
    <definedName name="ENGL">#REF!</definedName>
    <definedName name="ENGLAND">#REF!</definedName>
    <definedName name="Entity_List">#REF!</definedName>
    <definedName name="EntityDisplay">[11]Input!$A$2</definedName>
    <definedName name="EntityMember2">[11]Input!$F$3</definedName>
    <definedName name="Entry">{"'Blank'!$A$1:$A$2"}</definedName>
    <definedName name="EssAliasTable">"Default"</definedName>
    <definedName name="EssApp">"ICPHYPER"</definedName>
    <definedName name="Essbase">"A1100000000121000011001101000_01 00"</definedName>
    <definedName name="EssDB">"Hyperion"</definedName>
    <definedName name="EssLatest">"1"</definedName>
    <definedName name="EssOptions">"A1100000000111000011101101000_01000"</definedName>
    <definedName name="etc" hidden="1">#REF!</definedName>
    <definedName name="EUHQ">#REF!</definedName>
    <definedName name="EUROPEAN_HQ">#REF!</definedName>
    <definedName name="ev.Calculation">-4105</definedName>
    <definedName name="ev.Initialized">FALSE</definedName>
    <definedName name="EV__LASTREFTIME__">38721.7240856482</definedName>
    <definedName name="EXEC1">#REF!</definedName>
    <definedName name="EXEC2">#REF!</definedName>
    <definedName name="ExecLegalPR2">#REF!</definedName>
    <definedName name="ExpectedBalance">#REF!</definedName>
    <definedName name="ExternalData_1" localSheetId="1" hidden="1">Current_Tax_Expense!$A$9:$C$83</definedName>
    <definedName name="f">38561.6591435185</definedName>
    <definedName name="f.asset">#REF!</definedName>
    <definedName name="FBClass">#REF!</definedName>
    <definedName name="fdfdslkfjjslfsdj">#REF!</definedName>
    <definedName name="FebSun1">DATE(CalendarYear,2,1)-WEEKDAY(DATE(CalendarYear,2,1))+1</definedName>
    <definedName name="FedCGPerm">'[12]Step 1 - Current Taxes'!#REF!</definedName>
    <definedName name="FedCGTemp">'[12]Step 1 - Current Taxes'!#REF!</definedName>
    <definedName name="FederalCCA">'[12]Step 1 - Current Taxes'!#REF!</definedName>
    <definedName name="FederalCEC">'[12]Step 1 - Current Taxes'!#REF!</definedName>
    <definedName name="FederalReserve">'[12]Step 1 - Current Taxes'!#REF!</definedName>
    <definedName name="FederalSRED">'[12]Step 1 - Current Taxes'!#REF!</definedName>
    <definedName name="FedPYAdj">#REF!</definedName>
    <definedName name="FedRate">#REF!</definedName>
    <definedName name="ff" hidden="1">#REF!</definedName>
    <definedName name="fg">#REF!</definedName>
    <definedName name="Fill" hidden="1">#REF!</definedName>
    <definedName name="Final">#REF!</definedName>
    <definedName name="Finance2">#REF!</definedName>
    <definedName name="FITending">'[12]Step 3 - Future Taxes'!$M$90</definedName>
    <definedName name="Flx_Flor" hidden="1">#REF!</definedName>
    <definedName name="Flx_Trad" hidden="1">#REF!</definedName>
    <definedName name="Format">'[17]BS-203'!#REF!</definedName>
    <definedName name="FRAN">#REF!</definedName>
    <definedName name="FRANCE">#REF!</definedName>
    <definedName name="FST">#REF!</definedName>
    <definedName name="Fund_List">#REF!</definedName>
    <definedName name="Furnitures">#REF!</definedName>
    <definedName name="FutCurr">'[12]Step 3 - Future Taxes'!#REF!</definedName>
    <definedName name="FutLongTerm">'[12]Step 3 - Future Taxes'!#REF!</definedName>
    <definedName name="FY">[9]Cap!$H$3</definedName>
    <definedName name="FYE">"FYE"</definedName>
    <definedName name="ganehs">#REF!</definedName>
    <definedName name="ganesh">#REF!</definedName>
    <definedName name="ganesh1" hidden="1">#REF!</definedName>
    <definedName name="ganesh19844">#REF!</definedName>
    <definedName name="GERM">#REF!</definedName>
    <definedName name="GERMANY">#REF!</definedName>
    <definedName name="gnaes" hidden="1">#REF!</definedName>
    <definedName name="GOVTPF">#REF!</definedName>
    <definedName name="Gross_Profit">#REF!</definedName>
    <definedName name="Group1">#REF!</definedName>
    <definedName name="Group2">#REF!</definedName>
    <definedName name="Header">#REF!</definedName>
    <definedName name="hide_rev1_headings">[0]!hide_rev1_headings</definedName>
    <definedName name="hide_rev2_headings">[0]!hide_rev2_headings</definedName>
    <definedName name="hn.ExtDb">FALSE</definedName>
    <definedName name="hn.ModelType">"DEAL"</definedName>
    <definedName name="hn.ModelVersion">1</definedName>
    <definedName name="hn.NoUpload">0</definedName>
    <definedName name="HOLL">#REF!</definedName>
    <definedName name="HOLLAND">#REF!</definedName>
    <definedName name="html">{"'TON'!$A$2:$L$94"}</definedName>
    <definedName name="HTML_CodePage">1252</definedName>
    <definedName name="HTML_Control">{"'Blank'!$A$1:$A$2"}</definedName>
    <definedName name="HTML_Control2">{"' calendrier 2000'!$A$1:$Q$38"}</definedName>
    <definedName name="HTML_Description">""</definedName>
    <definedName name="HTML_Email">""</definedName>
    <definedName name="HTML_Header">"Blank"</definedName>
    <definedName name="HTML_LastUpdate">"10/14/1999"</definedName>
    <definedName name="HTML_LineAfter">FALSE</definedName>
    <definedName name="HTML_LineBefore">FALSE</definedName>
    <definedName name="HTML_Name">"GMAC-RFC"</definedName>
    <definedName name="HTML_OBDlg2">TRUE</definedName>
    <definedName name="HTML_OBDlg4">TRUE</definedName>
    <definedName name="HTML_OS">0</definedName>
    <definedName name="HTML_PathFile">"C:\WINNT\Profiles\td12\Personal\MyHTML.htm"</definedName>
    <definedName name="HTML_Title">"ProdMlyVars"</definedName>
    <definedName name="HTML1_11">1</definedName>
    <definedName name="HTML1_12">"D:\HOME\UNITTRST\PAGES\PRICES02.HTM"</definedName>
    <definedName name="HTML1_2">-4146</definedName>
    <definedName name="HTML1_3">"D:\HOME\UNITTRST\PAGES\PRICES01.HTM"</definedName>
    <definedName name="HTML1_4">"Internet"</definedName>
    <definedName name="HTML1_6">1</definedName>
    <definedName name="HTML1_7">1</definedName>
    <definedName name="HTML1_8">35373</definedName>
    <definedName name="HTML1_9">"Ray Lee"</definedName>
    <definedName name="HTML2_11">1</definedName>
    <definedName name="HTML2_12">"D:\HOME\UNITTRST\PAGES\UT_PRI01.HTM"</definedName>
    <definedName name="HTML2_2">-4146</definedName>
    <definedName name="HTML2_3">"D:\HOME\UNITTRST\PAGES\PRICES01.HTM"</definedName>
    <definedName name="HTMLCount">2</definedName>
    <definedName name="Human2">#REF!</definedName>
    <definedName name="icd">#REF!</definedName>
    <definedName name="icic">#REF!</definedName>
    <definedName name="ICP_Partner">#REF!</definedName>
    <definedName name="IK">#REF!</definedName>
    <definedName name="ILT">#REF!</definedName>
    <definedName name="Income">'[12]Step 1 - Current Taxes'!$E$8</definedName>
    <definedName name="Inf.G_Flor" hidden="1">#REF!</definedName>
    <definedName name="Inf.G_Trad" hidden="1">#REF!</definedName>
    <definedName name="InfoTech2">#REF!</definedName>
    <definedName name="INPUT">#REF!</definedName>
    <definedName name="insurance">#REF!</definedName>
    <definedName name="Interest">-IPMT(Interest_Rate/12,Payment_Number,Number_of_Payments,Loan_Amount)</definedName>
    <definedName name="IntroPrintArea" hidden="1">#REF!</definedName>
    <definedName name="Inventory_Avail">#REF!</definedName>
    <definedName name="IQ_1_4_FAMILY_JUNIOR_LIENS_CHARGE_OFFS_FDIC">"c6605"</definedName>
    <definedName name="IQ_1_4_FAMILY_JUNIOR_LIENS_NET_CHARGE_OFFS_FDIC">"c6643"</definedName>
    <definedName name="IQ_1_4_FAMILY_JUNIOR_LIENS_RECOVERIES_FDIC">"c6624"</definedName>
    <definedName name="IQ_1_4_FAMILY_SENIOR_LIENS_CHARGE_OFFS_FDIC">"c6604"</definedName>
    <definedName name="IQ_1_4_FAMILY_SENIOR_LIENS_NET_CHARGE_OFFS_FDIC">"c6642"</definedName>
    <definedName name="IQ_1_4_FAMILY_SENIOR_LIENS_RECOVERIES_FDIC">"c6623"</definedName>
    <definedName name="IQ_1_4_HOME_EQUITY_NET_LOANS_FDIC">"c6441"</definedName>
    <definedName name="IQ_1_4_RESIDENTIAL_FIRST_LIENS_NET_LOANS_FDIC">"c6439"</definedName>
    <definedName name="IQ_1_4_RESIDENTIAL_JUNIOR_LIENS_NET_LOANS_FDIC">"c6440"</definedName>
    <definedName name="IQ_1_4_RESIDENTIAL_LOANS_FDIC">"c6310"</definedName>
    <definedName name="IQ_ACCOUNT_CHANGE">"c1449"</definedName>
    <definedName name="IQ_ACCOUNTING_STANDARD">"c4539"</definedName>
    <definedName name="IQ_ACCOUNTS_PAY">"c1343"</definedName>
    <definedName name="IQ_ACCR_INT_PAY">"c1"</definedName>
    <definedName name="IQ_ACCR_INT_PAY_CF">"c2"</definedName>
    <definedName name="IQ_ACCR_INT_RECEIV">"c3"</definedName>
    <definedName name="IQ_ACCR_INT_RECEIV_CF">"c4"</definedName>
    <definedName name="IQ_ACCRUED_EXP">"c1341"</definedName>
    <definedName name="IQ_ACCT_RECV_10YR_ANN_CAGR">"c6159"</definedName>
    <definedName name="IQ_ACCT_RECV_10YR_ANN_GROWTH">"c1924"</definedName>
    <definedName name="IQ_ACCT_RECV_1YR_ANN_GROWTH">"c1919"</definedName>
    <definedName name="IQ_ACCT_RECV_2YR_ANN_CAGR">"c6155"</definedName>
    <definedName name="IQ_ACCT_RECV_2YR_ANN_GROWTH">"c1920"</definedName>
    <definedName name="IQ_ACCT_RECV_3YR_ANN_CAGR">"c6156"</definedName>
    <definedName name="IQ_ACCT_RECV_3YR_ANN_GROWTH">"c1921"</definedName>
    <definedName name="IQ_ACCT_RECV_5YR_ANN_CAGR">"c6157"</definedName>
    <definedName name="IQ_ACCT_RECV_5YR_ANN_GROWTH">"c1922"</definedName>
    <definedName name="IQ_ACCT_RECV_7YR_ANN_CAGR">"c6158"</definedName>
    <definedName name="IQ_ACCT_RECV_7YR_ANN_GROWTH">"c1923"</definedName>
    <definedName name="IQ_ACCUM_DEP">"c1340"</definedName>
    <definedName name="IQ_ACCUMULATED_PENSION_OBLIGATION">"c2244"</definedName>
    <definedName name="IQ_ACCUMULATED_PENSION_OBLIGATION_DOMESTIC">"c2657"</definedName>
    <definedName name="IQ_ACCUMULATED_PENSION_OBLIGATION_FOREIGN">"c2665"</definedName>
    <definedName name="IQ_ACQ_COST_SUB">"c2125"</definedName>
    <definedName name="IQ_ACQ_COSTS_CAPITALIZED">"c5"</definedName>
    <definedName name="IQ_ACQUIRE_REAL_ESTATE_CF">"c6"</definedName>
    <definedName name="IQ_ACQUIRED_BY_REPORTING_BANK_FDIC">"c6535"</definedName>
    <definedName name="IQ_ACQUISITION_RE_ASSETS">"c1628"</definedName>
    <definedName name="IQ_AD">"c7"</definedName>
    <definedName name="IQ_ADD_PAID_IN">"c1344"</definedName>
    <definedName name="IQ_ADDIN">"AUTO"</definedName>
    <definedName name="IQ_ADDITIONAL_NON_INT_INC_FDIC">"c6574"</definedName>
    <definedName name="IQ_ADJ_AVG_BANK_ASSETS">"c2671"</definedName>
    <definedName name="IQ_ADJUSTABLE_RATE_LOANS_FDIC">"c6375"</definedName>
    <definedName name="IQ_ADMIN_RATIO">"c2784"</definedName>
    <definedName name="IQ_ADVERTISING">"c2246"</definedName>
    <definedName name="IQ_ADVERTISING_MARKETING">"c1566"</definedName>
    <definedName name="IQ_AE">"c8"</definedName>
    <definedName name="IQ_AE_BNK">"c9"</definedName>
    <definedName name="IQ_AE_BR">"c10"</definedName>
    <definedName name="IQ_AE_FIN">"c11"</definedName>
    <definedName name="IQ_AE_INS">"c12"</definedName>
    <definedName name="IQ_AE_RE">"c6195"</definedName>
    <definedName name="IQ_AE_REIT">"c13"</definedName>
    <definedName name="IQ_AE_UTI">"c14"</definedName>
    <definedName name="IQ_AFTER_TAX_INCOME_FDIC">"c6583"</definedName>
    <definedName name="IQ_AGRICULTURAL_PRODUCTION_CHARGE_OFFS_FDIC">"c6597"</definedName>
    <definedName name="IQ_AGRICULTURAL_PRODUCTION_CHARGE_OFFS_LESS_THAN_300M_FDIC">"c6655"</definedName>
    <definedName name="IQ_AGRICULTURAL_PRODUCTION_NET_CHARGE_OFFS_FDIC">"c6635"</definedName>
    <definedName name="IQ_AGRICULTURAL_PRODUCTION_NET_CHARGE_OFFS_LESS_THAN_300M_FDIC">"c6657"</definedName>
    <definedName name="IQ_AGRICULTURAL_PRODUCTION_RECOVERIES_FDIC">"c6616"</definedName>
    <definedName name="IQ_AGRICULTURAL_PRODUCTION_RECOVERIES_LESS_THAN_300M_FDIC">"c6656"</definedName>
    <definedName name="IQ_AH_EARNED">"c2744"</definedName>
    <definedName name="IQ_AH_POLICY_BENEFITS_EXP">"c2789"</definedName>
    <definedName name="IQ_AIR_AIRPLANES_NOT_IN_SERVICE">"c2842"</definedName>
    <definedName name="IQ_AIR_AIRPLANES_SUBLEASED">"c2841"</definedName>
    <definedName name="IQ_AIR_ASK">"c2813"</definedName>
    <definedName name="IQ_AIR_ASK_INCREASE">"c2826"</definedName>
    <definedName name="IQ_AIR_ASM">"c2812"</definedName>
    <definedName name="IQ_AIR_ASM_INCREASE">"c2825"</definedName>
    <definedName name="IQ_AIR_AVG_AGE">"c2843"</definedName>
    <definedName name="IQ_AIR_BREAK_EVEN_FACTOR">"c2822"</definedName>
    <definedName name="IQ_AIR_CAPITAL_LEASE">"c2833"</definedName>
    <definedName name="IQ_AIR_COMPLETION_FACTOR">"c2824"</definedName>
    <definedName name="IQ_AIR_ENPLANED_PSGRS">"c2809"</definedName>
    <definedName name="IQ_AIR_FUEL_CONSUMED">"c2806"</definedName>
    <definedName name="IQ_AIR_FUEL_CONSUMED_L">"c2807"</definedName>
    <definedName name="IQ_AIR_FUEL_COST">"c2803"</definedName>
    <definedName name="IQ_AIR_FUEL_COST_L">"c2804"</definedName>
    <definedName name="IQ_AIR_FUEL_EXP">"c2802"</definedName>
    <definedName name="IQ_AIR_FUEL_EXP_PERCENT">"c2805"</definedName>
    <definedName name="IQ_AIR_LEASED">"c2835"</definedName>
    <definedName name="IQ_AIR_LOAD_FACTOR">"c2823"</definedName>
    <definedName name="IQ_AIR_NEW_AIRPLANES">"c2839"</definedName>
    <definedName name="IQ_AIR_OPER_EXP_ASK">"c2821"</definedName>
    <definedName name="IQ_AIR_OPER_EXP_ASM">"c2820"</definedName>
    <definedName name="IQ_AIR_OPER_LEASE">"c2834"</definedName>
    <definedName name="IQ_AIR_OPER_REV_YIELD_ASK">"c2819"</definedName>
    <definedName name="IQ_AIR_OPER_REV_YIELD_ASM">"c2818"</definedName>
    <definedName name="IQ_AIR_OPTIONS">"c2837"</definedName>
    <definedName name="IQ_AIR_ORDERS">"c2836"</definedName>
    <definedName name="IQ_AIR_OWNED">"c2832"</definedName>
    <definedName name="IQ_AIR_PSGR_REV_YIELD_ASK">"c2817"</definedName>
    <definedName name="IQ_AIR_PSGR_REV_YIELD_ASM">"c2816"</definedName>
    <definedName name="IQ_AIR_PSGR_REV_YIELD_RPK">"c2815"</definedName>
    <definedName name="IQ_AIR_PSGR_REV_YIELD_RPM">"c2814"</definedName>
    <definedName name="IQ_AIR_PURCHASE_RIGHTS">"c2838"</definedName>
    <definedName name="IQ_AIR_RETIRED_AIRPLANES">"c2840"</definedName>
    <definedName name="IQ_AIR_REV_PSGRS_CARRIED">"c2808"</definedName>
    <definedName name="IQ_AIR_REV_SCHEDULED_SERVICE">"c2830"</definedName>
    <definedName name="IQ_AIR_RPK">"c2811"</definedName>
    <definedName name="IQ_AIR_RPM">"c2810"</definedName>
    <definedName name="IQ_AIR_STAGE_LENGTH">"c2828"</definedName>
    <definedName name="IQ_AIR_STAGE_LENGTH_KM">"c2829"</definedName>
    <definedName name="IQ_AIR_TOTAL">"c2831"</definedName>
    <definedName name="IQ_AIR_UTILIZATION">"c2827"</definedName>
    <definedName name="IQ_ALLOW_BORROW_CONST">"c15"</definedName>
    <definedName name="IQ_ALLOW_CONST">"c1342"</definedName>
    <definedName name="IQ_ALLOW_DOUBT_ACCT">"c2092"</definedName>
    <definedName name="IQ_ALLOW_EQUITY_CONST">"c16"</definedName>
    <definedName name="IQ_ALLOW_LL">"c17"</definedName>
    <definedName name="IQ_ALLOWANCE_10YR_ANN_CAGR">"c6035"</definedName>
    <definedName name="IQ_ALLOWANCE_10YR_ANN_GROWTH">"c18"</definedName>
    <definedName name="IQ_ALLOWANCE_1YR_ANN_GROWTH">"c19"</definedName>
    <definedName name="IQ_ALLOWANCE_2YR_ANN_CAGR">"c6036"</definedName>
    <definedName name="IQ_ALLOWANCE_2YR_ANN_GROWTH">"c20"</definedName>
    <definedName name="IQ_ALLOWANCE_3YR_ANN_CAGR">"c6037"</definedName>
    <definedName name="IQ_ALLOWANCE_3YR_ANN_GROWTH">"c21"</definedName>
    <definedName name="IQ_ALLOWANCE_5YR_ANN_CAGR">"c6038"</definedName>
    <definedName name="IQ_ALLOWANCE_5YR_ANN_GROWTH">"c22"</definedName>
    <definedName name="IQ_ALLOWANCE_7YR_ANN_CAGR">"c6039"</definedName>
    <definedName name="IQ_ALLOWANCE_7YR_ANN_GROWTH">"c23"</definedName>
    <definedName name="IQ_ALLOWANCE_CHARGE_OFFS">"c24"</definedName>
    <definedName name="IQ_ALLOWANCE_NON_PERF_LOANS">"c25"</definedName>
    <definedName name="IQ_ALLOWANCE_TOTAL_LOANS">"c26"</definedName>
    <definedName name="IQ_AMENDED_BALANCE_PREVIOUS_YR_FDIC">"c6499"</definedName>
    <definedName name="IQ_AMORT_EXPENSE_FDIC">"c6677"</definedName>
    <definedName name="IQ_AMORTIZATION">"c1591"</definedName>
    <definedName name="IQ_AMORTIZED_COST_FDIC">"c6426"</definedName>
    <definedName name="IQ_AMT_OUT">"c2145"</definedName>
    <definedName name="IQ_ANNU_DISTRIBUTION_UNIT">"c3004"</definedName>
    <definedName name="IQ_ANNUALIZED_DIVIDEND">"c1579"</definedName>
    <definedName name="IQ_ANNUITY_LIAB">"c27"</definedName>
    <definedName name="IQ_ANNUITY_PAY">"c28"</definedName>
    <definedName name="IQ_ANNUITY_POLICY_EXP">"c29"</definedName>
    <definedName name="IQ_ANNUITY_REC">"c30"</definedName>
    <definedName name="IQ_ANNUITY_REV">"c31"</definedName>
    <definedName name="IQ_AP">"c32"</definedName>
    <definedName name="IQ_AP_BNK">"c33"</definedName>
    <definedName name="IQ_AP_BR">"c34"</definedName>
    <definedName name="IQ_AP_FIN">"c35"</definedName>
    <definedName name="IQ_AP_INS">"c36"</definedName>
    <definedName name="IQ_AP_RE">"c6196"</definedName>
    <definedName name="IQ_AP_REIT">"c37"</definedName>
    <definedName name="IQ_AP_UTI">"c38"</definedName>
    <definedName name="IQ_APIC">"c39"</definedName>
    <definedName name="IQ_AR">"c40"</definedName>
    <definedName name="IQ_AR_BR">"c41"</definedName>
    <definedName name="IQ_AR_LT">"c42"</definedName>
    <definedName name="IQ_AR_RE">"c6197"</definedName>
    <definedName name="IQ_AR_REIT">"c43"</definedName>
    <definedName name="IQ_AR_TURNS">"c44"</definedName>
    <definedName name="IQ_AR_UTI">"c45"</definedName>
    <definedName name="IQ_ARPU">"c2126"</definedName>
    <definedName name="IQ_ASSET_BACKED_FDIC">"c6301"</definedName>
    <definedName name="IQ_ASSET_MGMT_FEE">"c46"</definedName>
    <definedName name="IQ_ASSET_TURNS">"c47"</definedName>
    <definedName name="IQ_ASSET_WRITEDOWN">"c48"</definedName>
    <definedName name="IQ_ASSET_WRITEDOWN_BNK">"c49"</definedName>
    <definedName name="IQ_ASSET_WRITEDOWN_BR">"c50"</definedName>
    <definedName name="IQ_ASSET_WRITEDOWN_CF">"c51"</definedName>
    <definedName name="IQ_ASSET_WRITEDOWN_CF_BNK">"c52"</definedName>
    <definedName name="IQ_ASSET_WRITEDOWN_CF_BR">"c53"</definedName>
    <definedName name="IQ_ASSET_WRITEDOWN_CF_FIN">"c54"</definedName>
    <definedName name="IQ_ASSET_WRITEDOWN_CF_INS">"c55"</definedName>
    <definedName name="IQ_ASSET_WRITEDOWN_CF_RE">"c6198"</definedName>
    <definedName name="IQ_ASSET_WRITEDOWN_CF_REIT">"c56"</definedName>
    <definedName name="IQ_ASSET_WRITEDOWN_CF_UTI">"c57"</definedName>
    <definedName name="IQ_ASSET_WRITEDOWN_FIN">"c58"</definedName>
    <definedName name="IQ_ASSET_WRITEDOWN_INS">"c59"</definedName>
    <definedName name="IQ_ASSET_WRITEDOWN_RE">"c6199"</definedName>
    <definedName name="IQ_ASSET_WRITEDOWN_REIT">"c60"</definedName>
    <definedName name="IQ_ASSET_WRITEDOWN_UTI">"c61"</definedName>
    <definedName name="IQ_ASSETS_CAP_LEASE_DEPR">"c2068"</definedName>
    <definedName name="IQ_ASSETS_CAP_LEASE_GROSS">"c2069"</definedName>
    <definedName name="IQ_ASSETS_HELD_FDIC">"c6305"</definedName>
    <definedName name="IQ_ASSETS_OPER_LEASE_DEPR">"c2070"</definedName>
    <definedName name="IQ_ASSETS_OPER_LEASE_GROSS">"c2071"</definedName>
    <definedName name="IQ_ASSETS_PER_EMPLOYEE_FDIC">"c6737"</definedName>
    <definedName name="IQ_ASSETS_SOLD_1_4_FAMILY_LOANS_FDIC">"c6686"</definedName>
    <definedName name="IQ_ASSETS_SOLD_AUTO_LOANS_FDIC">"c6680"</definedName>
    <definedName name="IQ_ASSETS_SOLD_CL_LOANS_FDIC">"c6681"</definedName>
    <definedName name="IQ_ASSETS_SOLD_CREDIT_CARDS_RECEIVABLES_FDIC">"c6683"</definedName>
    <definedName name="IQ_ASSETS_SOLD_HOME_EQUITY_LINES_FDIC">"c6684"</definedName>
    <definedName name="IQ_ASSETS_SOLD_OTHER_CONSUMER_LOANS_FDIC">"c6682"</definedName>
    <definedName name="IQ_ASSETS_SOLD_OTHER_LOANS_FDIC">"c6685"</definedName>
    <definedName name="IQ_ASSUMED_AH_EARNED">"c2741"</definedName>
    <definedName name="IQ_ASSUMED_EARNED">"c2731"</definedName>
    <definedName name="IQ_ASSUMED_LIFE_EARNED">"c2736"</definedName>
    <definedName name="IQ_ASSUMED_LIFE_IN_FORCE">"c2766"</definedName>
    <definedName name="IQ_ASSUMED_PC_EARNED">"c2746"</definedName>
    <definedName name="IQ_ASSUMED_WRITTEN">"c2725"</definedName>
    <definedName name="IQ_AUDITOR_NAME">"c1539"</definedName>
    <definedName name="IQ_AUDITOR_OPINION">"c1540"</definedName>
    <definedName name="IQ_AUTO_WRITTEN">"c62"</definedName>
    <definedName name="IQ_AVAILABLE_FOR_SALE_FDIC">"c6409"</definedName>
    <definedName name="IQ_AVERAGE_ASSETS_FDIC">"c6362"</definedName>
    <definedName name="IQ_AVERAGE_ASSETS_QUART_FDIC">"c6363"</definedName>
    <definedName name="IQ_AVERAGE_EARNING_ASSETS_FDIC">"c6748"</definedName>
    <definedName name="IQ_AVERAGE_EQUITY_FDIC">"c6749"</definedName>
    <definedName name="IQ_AVERAGE_LOANS_FDIC">"c6750"</definedName>
    <definedName name="IQ_AVG_BANK_ASSETS">"c2072"</definedName>
    <definedName name="IQ_AVG_BANK_LOANS">"c2073"</definedName>
    <definedName name="IQ_AVG_BROKER_REC">"c63"</definedName>
    <definedName name="IQ_AVG_BROKER_REC_NO">"c64"</definedName>
    <definedName name="IQ_AVG_BROKER_REC_NO_REUT">"c5315"</definedName>
    <definedName name="IQ_AVG_BROKER_REC_REUT">"c3630"</definedName>
    <definedName name="IQ_AVG_DAILY_VOL">"c65"</definedName>
    <definedName name="IQ_AVG_EMPLOYEES">"c6019"</definedName>
    <definedName name="IQ_AVG_INDUSTRY_REC">"c4455"</definedName>
    <definedName name="IQ_AVG_INDUSTRY_REC_NO">"c4454"</definedName>
    <definedName name="IQ_AVG_INT_BEAR_LIAB">"c66"</definedName>
    <definedName name="IQ_AVG_INT_BEAR_LIAB_10YR_ANN_CAGR">"c6040"</definedName>
    <definedName name="IQ_AVG_INT_BEAR_LIAB_10YR_ANN_GROWTH">"c67"</definedName>
    <definedName name="IQ_AVG_INT_BEAR_LIAB_1YR_ANN_GROWTH">"c68"</definedName>
    <definedName name="IQ_AVG_INT_BEAR_LIAB_2YR_ANN_CAGR">"c6041"</definedName>
    <definedName name="IQ_AVG_INT_BEAR_LIAB_2YR_ANN_GROWTH">"c69"</definedName>
    <definedName name="IQ_AVG_INT_BEAR_LIAB_3YR_ANN_CAGR">"c6042"</definedName>
    <definedName name="IQ_AVG_INT_BEAR_LIAB_3YR_ANN_GROWTH">"c70"</definedName>
    <definedName name="IQ_AVG_INT_BEAR_LIAB_5YR_ANN_CAGR">"c6043"</definedName>
    <definedName name="IQ_AVG_INT_BEAR_LIAB_5YR_ANN_GROWTH">"c71"</definedName>
    <definedName name="IQ_AVG_INT_BEAR_LIAB_7YR_ANN_CAGR">"c6044"</definedName>
    <definedName name="IQ_AVG_INT_BEAR_LIAB_7YR_ANN_GROWTH">"c72"</definedName>
    <definedName name="IQ_AVG_INT_EARN_ASSETS">"c73"</definedName>
    <definedName name="IQ_AVG_INT_EARN_ASSETS_10YR_ANN_CAGR">"c6045"</definedName>
    <definedName name="IQ_AVG_INT_EARN_ASSETS_10YR_ANN_GROWTH">"c74"</definedName>
    <definedName name="IQ_AVG_INT_EARN_ASSETS_1YR_ANN_GROWTH">"c75"</definedName>
    <definedName name="IQ_AVG_INT_EARN_ASSETS_2YR_ANN_CAGR">"c6046"</definedName>
    <definedName name="IQ_AVG_INT_EARN_ASSETS_2YR_ANN_GROWTH">"c76"</definedName>
    <definedName name="IQ_AVG_INT_EARN_ASSETS_3YR_ANN_CAGR">"c6047"</definedName>
    <definedName name="IQ_AVG_INT_EARN_ASSETS_3YR_ANN_GROWTH">"c77"</definedName>
    <definedName name="IQ_AVG_INT_EARN_ASSETS_5YR_ANN_CAGR">"c6048"</definedName>
    <definedName name="IQ_AVG_INT_EARN_ASSETS_5YR_ANN_GROWTH">"c78"</definedName>
    <definedName name="IQ_AVG_INT_EARN_ASSETS_7YR_ANN_CAGR">"c6049"</definedName>
    <definedName name="IQ_AVG_INT_EARN_ASSETS_7YR_ANN_GROWTH">"c79"</definedName>
    <definedName name="IQ_AVG_MKTCAP">"c80"</definedName>
    <definedName name="IQ_AVG_PRICE">"c81"</definedName>
    <definedName name="IQ_AVG_SHAREOUTSTANDING">"c83"</definedName>
    <definedName name="IQ_AVG_TEMP_EMPLOYEES">"c6020"</definedName>
    <definedName name="IQ_AVG_TEV">"c84"</definedName>
    <definedName name="IQ_AVG_VOLUME">"c1346"</definedName>
    <definedName name="IQ_BALANCE_GOODS_APR_FC_UNUSED_UNUSED_UNUSED">"c8353"</definedName>
    <definedName name="IQ_BALANCE_GOODS_APR_UNUSED_UNUSED_UNUSED">"c7473"</definedName>
    <definedName name="IQ_BALANCE_GOODS_FC_UNUSED_UNUSED_UNUSED">"c7693"</definedName>
    <definedName name="IQ_BALANCE_GOODS_POP_FC_UNUSED_UNUSED_UNUSED">"c7913"</definedName>
    <definedName name="IQ_BALANCE_GOODS_POP_UNUSED_UNUSED_UNUSED">"c7033"</definedName>
    <definedName name="IQ_BALANCE_GOODS_UNUSED_UNUSED_UNUSED">"c6813"</definedName>
    <definedName name="IQ_BALANCE_GOODS_YOY_FC_UNUSED_UNUSED_UNUSED">"c8133"</definedName>
    <definedName name="IQ_BALANCE_GOODS_YOY_UNUSED_UNUSED_UNUSED">"c7253"</definedName>
    <definedName name="IQ_BALANCE_SERV_APR_FC_UNUSED_UNUSED_UNUSED">"c8355"</definedName>
    <definedName name="IQ_BALANCE_SERV_APR_UNUSED_UNUSED_UNUSED">"c7475"</definedName>
    <definedName name="IQ_BALANCE_SERV_FC_UNUSED_UNUSED_UNUSED">"c7695"</definedName>
    <definedName name="IQ_BALANCE_SERV_POP_FC_UNUSED_UNUSED_UNUSED">"c7915"</definedName>
    <definedName name="IQ_BALANCE_SERV_POP_UNUSED_UNUSED_UNUSED">"c7035"</definedName>
    <definedName name="IQ_BALANCE_SERV_UNUSED_UNUSED_UNUSED">"c6815"</definedName>
    <definedName name="IQ_BALANCE_SERV_YOY_FC_UNUSED_UNUSED_UNUSED">"c8135"</definedName>
    <definedName name="IQ_BALANCE_SERV_YOY_UNUSED_UNUSED_UNUSED">"c7255"</definedName>
    <definedName name="IQ_BALANCE_TRADE_APR_FC_UNUSED_UNUSED_UNUSED">"c8357"</definedName>
    <definedName name="IQ_BALANCE_TRADE_APR_UNUSED_UNUSED_UNUSED">"c7477"</definedName>
    <definedName name="IQ_BALANCE_TRADE_FC_UNUSED_UNUSED_UNUSED">"c7697"</definedName>
    <definedName name="IQ_BALANCE_TRADE_POP_FC_UNUSED_UNUSED_UNUSED">"c7917"</definedName>
    <definedName name="IQ_BALANCE_TRADE_POP_UNUSED_UNUSED_UNUSED">"c7037"</definedName>
    <definedName name="IQ_BALANCE_TRADE_UNUSED_UNUSED_UNUSED">"c6817"</definedName>
    <definedName name="IQ_BALANCE_TRADE_YOY_FC_UNUSED_UNUSED_UNUSED">"c8137"</definedName>
    <definedName name="IQ_BALANCE_TRADE_YOY_UNUSED_UNUSED_UNUSED">"c7257"</definedName>
    <definedName name="IQ_BALANCES_DUE_DEPOSITORY_INSTITUTIONS_FDIC">"c6389"</definedName>
    <definedName name="IQ_BALANCES_DUE_FOREIGN_FDIC">"c6391"</definedName>
    <definedName name="IQ_BALANCES_DUE_FRB_FDIC">"c6393"</definedName>
    <definedName name="IQ_BANK_BENEFICIARY_FDIC">"c6505"</definedName>
    <definedName name="IQ_BANK_DEBT">"c2544"</definedName>
    <definedName name="IQ_BANK_DEBT_PCT">"c2545"</definedName>
    <definedName name="IQ_BANK_GUARANTOR_FDIC">"c6506"</definedName>
    <definedName name="IQ_BANK_PREMISES_FDIC">"c6329"</definedName>
    <definedName name="IQ_BANK_SECURITIZATION_1_4_FAMILY_LOANS_FDIC">"c6721"</definedName>
    <definedName name="IQ_BANK_SECURITIZATION_AUTO_LOANS_FDIC">"c6715"</definedName>
    <definedName name="IQ_BANK_SECURITIZATION_CL_LOANS_FDIC">"c6716"</definedName>
    <definedName name="IQ_BANK_SECURITIZATION_CREDIT_CARDS_RECEIVABLES_FDIC">"c6718"</definedName>
    <definedName name="IQ_BANK_SECURITIZATION_HOME_EQUITY_LINES_FDIC">"c6719"</definedName>
    <definedName name="IQ_BANK_SECURITIZATION_OTHER_CONSUMER_LOANS_FDIC">"c6717"</definedName>
    <definedName name="IQ_BANK_SECURITIZATION_OTHER_LOANS_FDIC">"c6720"</definedName>
    <definedName name="IQ_BANKS_FOREIGN_COUNTRIES_TOTAL_DEPOSITS_FDIC">"c6475"</definedName>
    <definedName name="IQ_BASIC_EPS_EXCL">"c85"</definedName>
    <definedName name="IQ_BASIC_EPS_INCL">"c86"</definedName>
    <definedName name="IQ_BASIC_NORMAL_EPS">"c1592"</definedName>
    <definedName name="IQ_BASIC_OUTSTANDING_CURRENT_EST">"c4128"</definedName>
    <definedName name="IQ_BASIC_OUTSTANDING_CURRENT_HIGH_EST">"c4129"</definedName>
    <definedName name="IQ_BASIC_OUTSTANDING_CURRENT_LOW_EST">"c4130"</definedName>
    <definedName name="IQ_BASIC_OUTSTANDING_CURRENT_MEDIAN_EST">"c4131"</definedName>
    <definedName name="IQ_BASIC_OUTSTANDING_CURRENT_NUM_EST">"c4132"</definedName>
    <definedName name="IQ_BASIC_OUTSTANDING_CURRENT_STDDEV_EST">"c4133"</definedName>
    <definedName name="IQ_BASIC_OUTSTANDING_EST">"c4134"</definedName>
    <definedName name="IQ_BASIC_OUTSTANDING_HIGH_EST">"c4135"</definedName>
    <definedName name="IQ_BASIC_OUTSTANDING_LOW_EST">"c4136"</definedName>
    <definedName name="IQ_BASIC_OUTSTANDING_MEDIAN_EST">"c4137"</definedName>
    <definedName name="IQ_BASIC_OUTSTANDING_NUM_EST">"c4138"</definedName>
    <definedName name="IQ_BASIC_OUTSTANDING_STDDEV_EST">"c4139"</definedName>
    <definedName name="IQ_BASIC_WEIGHT">"c87"</definedName>
    <definedName name="IQ_BASIC_WEIGHT_EST">"c4140"</definedName>
    <definedName name="IQ_BASIC_WEIGHT_GUIDANCE">"c4141"</definedName>
    <definedName name="IQ_BASIC_WEIGHT_HIGH_EST">"c4142"</definedName>
    <definedName name="IQ_BASIC_WEIGHT_LOW_EST">"c4143"</definedName>
    <definedName name="IQ_BASIC_WEIGHT_MEDIAN_EST">"c4144"</definedName>
    <definedName name="IQ_BASIC_WEIGHT_NUM_EST">"c4145"</definedName>
    <definedName name="IQ_BASIC_WEIGHT_STDDEV_EST">"c4146"</definedName>
    <definedName name="IQ_BENCHMARK_SECURITY">"c2154"</definedName>
    <definedName name="IQ_BENCHMARK_SPRD">"c2153"</definedName>
    <definedName name="IQ_BETA">"c2133"</definedName>
    <definedName name="IQ_BETA_1YR">"c1966"</definedName>
    <definedName name="IQ_BETA_1YR_RSQ">"c2132"</definedName>
    <definedName name="IQ_BETA_2YR">"c1965"</definedName>
    <definedName name="IQ_BETA_2YR_RSQ">"c2131"</definedName>
    <definedName name="IQ_BETA_5YR">"c88"</definedName>
    <definedName name="IQ_BETA_5YR_RSQ">"c2130"</definedName>
    <definedName name="IQ_BIG_INT_BEAR_CD">"c89"</definedName>
    <definedName name="IQ_BOARD_MEMBER">"c96"</definedName>
    <definedName name="IQ_BOARD_MEMBER_BACKGROUND">"c2101"</definedName>
    <definedName name="IQ_BOARD_MEMBER_TITLE">"c97"</definedName>
    <definedName name="IQ_BOND_COUPON">"c2183"</definedName>
    <definedName name="IQ_BOND_COUPON_TYPE">"c2184"</definedName>
    <definedName name="IQ_BOND_PRICE">"c2162"</definedName>
    <definedName name="IQ_BROK_COMISSION">"c98"</definedName>
    <definedName name="IQ_BROK_COMMISSION">"c3514"</definedName>
    <definedName name="IQ_BROKERED_DEPOSITS_FDIC">"c6486"</definedName>
    <definedName name="IQ_BUDGET_BALANCE_APR_FC_UNUSED_UNUSED_UNUSED">"c8359"</definedName>
    <definedName name="IQ_BUDGET_BALANCE_APR_UNUSED_UNUSED_UNUSED">"c7479"</definedName>
    <definedName name="IQ_BUDGET_BALANCE_FC_UNUSED_UNUSED_UNUSED">"c7699"</definedName>
    <definedName name="IQ_BUDGET_BALANCE_POP_FC_UNUSED_UNUSED_UNUSED">"c7919"</definedName>
    <definedName name="IQ_BUDGET_BALANCE_POP_UNUSED_UNUSED_UNUSED">"c7039"</definedName>
    <definedName name="IQ_BUDGET_BALANCE_UNUSED_UNUSED_UNUSED">"c6819"</definedName>
    <definedName name="IQ_BUDGET_BALANCE_YOY_FC_UNUSED_UNUSED_UNUSED">"c8139"</definedName>
    <definedName name="IQ_BUDGET_BALANCE_YOY_UNUSED_UNUSED_UNUSED">"c7259"</definedName>
    <definedName name="IQ_BUDGET_RECEIPTS_APR_FC_UNUSED_UNUSED_UNUSED">"c8361"</definedName>
    <definedName name="IQ_BUDGET_RECEIPTS_APR_UNUSED_UNUSED_UNUSED">"c7481"</definedName>
    <definedName name="IQ_BUDGET_RECEIPTS_FC_UNUSED_UNUSED_UNUSED">"c7701"</definedName>
    <definedName name="IQ_BUDGET_RECEIPTS_POP_FC_UNUSED_UNUSED_UNUSED">"c7921"</definedName>
    <definedName name="IQ_BUDGET_RECEIPTS_POP_UNUSED_UNUSED_UNUSED">"c7041"</definedName>
    <definedName name="IQ_BUDGET_RECEIPTS_UNUSED_UNUSED_UNUSED">"c6821"</definedName>
    <definedName name="IQ_BUDGET_RECEIPTS_YOY_FC_UNUSED_UNUSED_UNUSED">"c8141"</definedName>
    <definedName name="IQ_BUDGET_RECEIPTS_YOY_UNUSED_UNUSED_UNUSED">"c7261"</definedName>
    <definedName name="IQ_BUILDINGS">"c99"</definedName>
    <definedName name="IQ_BUS_SEG_ASSETS">"c4067"</definedName>
    <definedName name="IQ_BUS_SEG_ASSETS_ABS">"c4089"</definedName>
    <definedName name="IQ_BUS_SEG_ASSETS_TOTAL">"c4112"</definedName>
    <definedName name="IQ_BUS_SEG_CAPEX">"c4079"</definedName>
    <definedName name="IQ_BUS_SEG_CAPEX_ABS">"c4101"</definedName>
    <definedName name="IQ_BUS_SEG_CAPEX_TOTAL">"c4116"</definedName>
    <definedName name="IQ_BUS_SEG_DA">"c4078"</definedName>
    <definedName name="IQ_BUS_SEG_DA_ABS">"c4100"</definedName>
    <definedName name="IQ_BUS_SEG_DA_TOTAL">"c4115"</definedName>
    <definedName name="IQ_BUS_SEG_EARNINGS_OP">"c4063"</definedName>
    <definedName name="IQ_BUS_SEG_EARNINGS_OP_ABS">"c4085"</definedName>
    <definedName name="IQ_BUS_SEG_EARNINGS_OP_TOTAL">"c4108"</definedName>
    <definedName name="IQ_BUS_SEG_EBT">"c4064"</definedName>
    <definedName name="IQ_BUS_SEG_EBT_ABS">"c4086"</definedName>
    <definedName name="IQ_BUS_SEG_EBT_TOTAL">"c4110"</definedName>
    <definedName name="IQ_BUS_SEG_GP">"c4066"</definedName>
    <definedName name="IQ_BUS_SEG_GP_ABS">"c4088"</definedName>
    <definedName name="IQ_BUS_SEG_GP_TOTAL">"c4109"</definedName>
    <definedName name="IQ_BUS_SEG_INC_TAX">"c4077"</definedName>
    <definedName name="IQ_BUS_SEG_INC_TAX_ABS">"c4099"</definedName>
    <definedName name="IQ_BUS_SEG_INC_TAX_TOTAL">"c4114"</definedName>
    <definedName name="IQ_BUS_SEG_INTEREST_EXP">"c4076"</definedName>
    <definedName name="IQ_BUS_SEG_INTEREST_EXP_ABS">"c4098"</definedName>
    <definedName name="IQ_BUS_SEG_INTEREST_EXP_TOTAL">"c4113"</definedName>
    <definedName name="IQ_BUS_SEG_NAME">"c5482"</definedName>
    <definedName name="IQ_BUS_SEG_NAME_ABS">"c5483"</definedName>
    <definedName name="IQ_BUS_SEG_NI">"c4065"</definedName>
    <definedName name="IQ_BUS_SEG_NI_ABS">"c4087"</definedName>
    <definedName name="IQ_BUS_SEG_NI_TOTAL">"c4111"</definedName>
    <definedName name="IQ_BUS_SEG_OPER_INC">"c4062"</definedName>
    <definedName name="IQ_BUS_SEG_OPER_INC_ABS">"c4084"</definedName>
    <definedName name="IQ_BUS_SEG_OPER_INC_TOTAL">"c4107"</definedName>
    <definedName name="IQ_BUS_SEG_REV">"c4068"</definedName>
    <definedName name="IQ_BUS_SEG_REV_ABS">"c4090"</definedName>
    <definedName name="IQ_BUS_SEG_REV_TOTAL">"c4106"</definedName>
    <definedName name="IQ_BUSINESS_DESCRIPTION">"c322"</definedName>
    <definedName name="IQ_BV_EST">"c5624"</definedName>
    <definedName name="IQ_BV_HIGH_EST">"c5626"</definedName>
    <definedName name="IQ_BV_LOW_EST">"c5627"</definedName>
    <definedName name="IQ_BV_MEDIAN_EST">"c5625"</definedName>
    <definedName name="IQ_BV_NUM_EST">"c5628"</definedName>
    <definedName name="IQ_BV_OVER_SHARES">"c1349"</definedName>
    <definedName name="IQ_BV_SHARE">"c100"</definedName>
    <definedName name="IQ_BV_SHARE_ACT_OR_EST">"c3587"</definedName>
    <definedName name="IQ_BV_SHARE_ACT_OR_EST_REUT">"c5477"</definedName>
    <definedName name="IQ_BV_SHARE_EST">"c3541"</definedName>
    <definedName name="IQ_BV_SHARE_EST_REUT">"c5439"</definedName>
    <definedName name="IQ_BV_SHARE_HIGH_EST">"c3542"</definedName>
    <definedName name="IQ_BV_SHARE_HIGH_EST_REUT">"c5441"</definedName>
    <definedName name="IQ_BV_SHARE_LOW_EST">"c3543"</definedName>
    <definedName name="IQ_BV_SHARE_LOW_EST_REUT">"c5442"</definedName>
    <definedName name="IQ_BV_SHARE_MEDIAN_EST">"c3544"</definedName>
    <definedName name="IQ_BV_SHARE_MEDIAN_EST_REUT">"c5440"</definedName>
    <definedName name="IQ_BV_SHARE_NUM_EST">"c3539"</definedName>
    <definedName name="IQ_BV_SHARE_NUM_EST_REUT">"c5443"</definedName>
    <definedName name="IQ_BV_SHARE_STDDEV_EST">"c3540"</definedName>
    <definedName name="IQ_BV_SHARE_STDDEV_EST_REUT">"c5444"</definedName>
    <definedName name="IQ_BV_STDDEV_EST">"c5629"</definedName>
    <definedName name="IQ_CABLE_ARPU">"c2869"</definedName>
    <definedName name="IQ_CABLE_ARPU_ANALOG">"c2864"</definedName>
    <definedName name="IQ_CABLE_ARPU_BASIC">"c2866"</definedName>
    <definedName name="IQ_CABLE_ARPU_BBAND">"c2867"</definedName>
    <definedName name="IQ_CABLE_ARPU_DIG">"c2865"</definedName>
    <definedName name="IQ_CABLE_ARPU_PHONE">"c2868"</definedName>
    <definedName name="IQ_CABLE_BASIC_PENETRATION">"c2850"</definedName>
    <definedName name="IQ_CABLE_BBAND_PENETRATION">"c2852"</definedName>
    <definedName name="IQ_CABLE_BBAND_PENETRATION_THP">"c2851"</definedName>
    <definedName name="IQ_CABLE_CHURN">"c2874"</definedName>
    <definedName name="IQ_CABLE_CHURN_BASIC">"c2871"</definedName>
    <definedName name="IQ_CABLE_CHURN_BBAND">"c2872"</definedName>
    <definedName name="IQ_CABLE_CHURN_DIG">"c2870"</definedName>
    <definedName name="IQ_CABLE_CHURN_PHONE">"c2873"</definedName>
    <definedName name="IQ_CABLE_HOMES_PER_MILE">"c2849"</definedName>
    <definedName name="IQ_CABLE_HP_BBAND">"c2845"</definedName>
    <definedName name="IQ_CABLE_HP_DIG">"c2844"</definedName>
    <definedName name="IQ_CABLE_HP_PHONE">"c2846"</definedName>
    <definedName name="IQ_CABLE_MILES_PASSED">"c2848"</definedName>
    <definedName name="IQ_CABLE_OTHER_REV">"c2882"</definedName>
    <definedName name="IQ_CABLE_PHONE_PENETRATION">"c2853"</definedName>
    <definedName name="IQ_CABLE_PROGRAMMING_COSTS">"c2884"</definedName>
    <definedName name="IQ_CABLE_REV_ADVERT">"c2880"</definedName>
    <definedName name="IQ_CABLE_REV_ANALOG">"c2875"</definedName>
    <definedName name="IQ_CABLE_REV_BASIC">"c2877"</definedName>
    <definedName name="IQ_CABLE_REV_BBAND">"c2878"</definedName>
    <definedName name="IQ_CABLE_REV_COMMERCIAL">"c2881"</definedName>
    <definedName name="IQ_CABLE_REV_DIG">"c2876"</definedName>
    <definedName name="IQ_CABLE_REV_PHONE">"c2879"</definedName>
    <definedName name="IQ_CABLE_RGU">"c2863"</definedName>
    <definedName name="IQ_CABLE_SUBS_ANALOG">"c2855"</definedName>
    <definedName name="IQ_CABLE_SUBS_BASIC">"c2857"</definedName>
    <definedName name="IQ_CABLE_SUBS_BBAND">"c2858"</definedName>
    <definedName name="IQ_CABLE_SUBS_BUNDLED">"c2861"</definedName>
    <definedName name="IQ_CABLE_SUBS_DIG">"c2856"</definedName>
    <definedName name="IQ_CABLE_SUBS_NON_VIDEO">"c2860"</definedName>
    <definedName name="IQ_CABLE_SUBS_PHONE">"c2859"</definedName>
    <definedName name="IQ_CABLE_SUBS_TOTAL">"c2862"</definedName>
    <definedName name="IQ_CABLE_THP">"c2847"</definedName>
    <definedName name="IQ_CABLE_TOTAL_PENETRATION">"c2854"</definedName>
    <definedName name="IQ_CABLE_TOTAL_REV">"c2883"</definedName>
    <definedName name="IQ_CAL_Q">"c101"</definedName>
    <definedName name="IQ_CAL_Q_EST">"c6796"</definedName>
    <definedName name="IQ_CAL_Q_EST_REUT">"c6800"</definedName>
    <definedName name="IQ_CAL_Y">"c102"</definedName>
    <definedName name="IQ_CAL_Y_EST">"c6797"</definedName>
    <definedName name="IQ_CAL_Y_EST_REUT">"c6801"</definedName>
    <definedName name="IQ_CALC_TYPE_BS">"c3086"</definedName>
    <definedName name="IQ_CALC_TYPE_CF">"c3085"</definedName>
    <definedName name="IQ_CALC_TYPE_IS">"c3084"</definedName>
    <definedName name="IQ_CALL_DATE_SCHEDULE">"c2481"</definedName>
    <definedName name="IQ_CALL_FEATURE">"c2197"</definedName>
    <definedName name="IQ_CALL_PRICE_SCHEDULE">"c2482"</definedName>
    <definedName name="IQ_CALLABLE">"c2196"</definedName>
    <definedName name="IQ_CAP_LOSS_CF_1YR">"c3474"</definedName>
    <definedName name="IQ_CAP_LOSS_CF_2YR">"c3475"</definedName>
    <definedName name="IQ_CAP_LOSS_CF_3YR">"c3476"</definedName>
    <definedName name="IQ_CAP_LOSS_CF_4YR">"c3477"</definedName>
    <definedName name="IQ_CAP_LOSS_CF_5YR">"c3478"</definedName>
    <definedName name="IQ_CAP_LOSS_CF_AFTER_FIVE">"c3479"</definedName>
    <definedName name="IQ_CAP_LOSS_CF_MAX_YEAR">"c3482"</definedName>
    <definedName name="IQ_CAP_LOSS_CF_NO_EXP">"c3480"</definedName>
    <definedName name="IQ_CAP_LOSS_CF_TOTAL">"c3481"</definedName>
    <definedName name="IQ_CAPEX">"c103"</definedName>
    <definedName name="IQ_CAPEX_10YR_ANN_CAGR">"c6050"</definedName>
    <definedName name="IQ_CAPEX_10YR_ANN_GROWTH">"c104"</definedName>
    <definedName name="IQ_CAPEX_1YR_ANN_GROWTH">"c105"</definedName>
    <definedName name="IQ_CAPEX_2YR_ANN_CAGR">"c6051"</definedName>
    <definedName name="IQ_CAPEX_2YR_ANN_GROWTH">"c106"</definedName>
    <definedName name="IQ_CAPEX_3YR_ANN_CAGR">"c6052"</definedName>
    <definedName name="IQ_CAPEX_3YR_ANN_GROWTH">"c107"</definedName>
    <definedName name="IQ_CAPEX_5YR_ANN_CAGR">"c6053"</definedName>
    <definedName name="IQ_CAPEX_5YR_ANN_GROWTH">"c108"</definedName>
    <definedName name="IQ_CAPEX_7YR_ANN_CAGR">"c6054"</definedName>
    <definedName name="IQ_CAPEX_7YR_ANN_GROWTH">"c109"</definedName>
    <definedName name="IQ_CAPEX_ACT_OR_EST">"c3584"</definedName>
    <definedName name="IQ_CAPEX_ACT_OR_EST_REUT">"c5474"</definedName>
    <definedName name="IQ_CAPEX_BNK">"c110"</definedName>
    <definedName name="IQ_CAPEX_BR">"c111"</definedName>
    <definedName name="IQ_CAPEX_EST">"c3523"</definedName>
    <definedName name="IQ_CAPEX_EST_REUT">"c3969"</definedName>
    <definedName name="IQ_CAPEX_FIN">"c112"</definedName>
    <definedName name="IQ_CAPEX_GUIDANCE">"c4150"</definedName>
    <definedName name="IQ_CAPEX_HIGH_EST">"c3524"</definedName>
    <definedName name="IQ_CAPEX_HIGH_EST_REUT">"c3971"</definedName>
    <definedName name="IQ_CAPEX_HIGH_GUIDANCE">"c4180"</definedName>
    <definedName name="IQ_CAPEX_INS">"c113"</definedName>
    <definedName name="IQ_CAPEX_LOW_EST">"c3525"</definedName>
    <definedName name="IQ_CAPEX_LOW_EST_REUT">"c3972"</definedName>
    <definedName name="IQ_CAPEX_LOW_GUIDANCE">"c4220"</definedName>
    <definedName name="IQ_CAPEX_MEDIAN_EST">"c3526"</definedName>
    <definedName name="IQ_CAPEX_MEDIAN_EST_REUT">"c3970"</definedName>
    <definedName name="IQ_CAPEX_NUM_EST">"c3521"</definedName>
    <definedName name="IQ_CAPEX_NUM_EST_REUT">"c3973"</definedName>
    <definedName name="IQ_CAPEX_STDDEV_EST">"c3522"</definedName>
    <definedName name="IQ_CAPEX_STDDEV_EST_REUT">"c3974"</definedName>
    <definedName name="IQ_CAPEX_UTI">"c114"</definedName>
    <definedName name="IQ_CAPITAL_LEASE">"c1350"</definedName>
    <definedName name="IQ_CAPITAL_LEASES">"c115"</definedName>
    <definedName name="IQ_CAPITAL_LEASES_TOTAL">"c3031"</definedName>
    <definedName name="IQ_CAPITAL_LEASES_TOTAL_PCT">"c2506"</definedName>
    <definedName name="IQ_CAPITALIZED_INTEREST">"c2076"</definedName>
    <definedName name="IQ_CAPITALIZED_INTEREST_BOP">"c3459"</definedName>
    <definedName name="IQ_CAPITALIZED_INTEREST_EOP">"c3464"</definedName>
    <definedName name="IQ_CAPITALIZED_INTEREST_EXP">"c3461"</definedName>
    <definedName name="IQ_CAPITALIZED_INTEREST_OTHER_ADJ">"c3463"</definedName>
    <definedName name="IQ_CAPITALIZED_INTEREST_WRITE_OFF">"c3462"</definedName>
    <definedName name="IQ_CASH">"c1458"</definedName>
    <definedName name="IQ_CASH_ACQUIRE_CF">"c116"</definedName>
    <definedName name="IQ_CASH_CONVERSION">"c117"</definedName>
    <definedName name="IQ_CASH_DIVIDENDS_NET_INCOME_FDIC">"c6738"</definedName>
    <definedName name="IQ_CASH_DUE_BANKS">"c1351"</definedName>
    <definedName name="IQ_CASH_EPS_ACT_OR_EST">"c5638"</definedName>
    <definedName name="IQ_CASH_EPS_EST">"c5631"</definedName>
    <definedName name="IQ_CASH_EPS_HIGH_EST">"c5633"</definedName>
    <definedName name="IQ_CASH_EPS_LOW_EST">"c5634"</definedName>
    <definedName name="IQ_CASH_EPS_MEDIAN_EST">"c5632"</definedName>
    <definedName name="IQ_CASH_EPS_NUM_EST">"c5635"</definedName>
    <definedName name="IQ_CASH_EPS_STDDEV_EST">"c5636"</definedName>
    <definedName name="IQ_CASH_EQUIV">"c118"</definedName>
    <definedName name="IQ_CASH_FINAN">"c119"</definedName>
    <definedName name="IQ_CASH_FLOW_ACT_OR_EST">"c4154"</definedName>
    <definedName name="IQ_CASH_FLOW_EST">"c4153"</definedName>
    <definedName name="IQ_CASH_FLOW_GUIDANCE">"c4155"</definedName>
    <definedName name="IQ_CASH_FLOW_HIGH_EST">"c4156"</definedName>
    <definedName name="IQ_CASH_FLOW_HIGH_GUIDANCE">"c4201"</definedName>
    <definedName name="IQ_CASH_FLOW_LOW_EST">"c4157"</definedName>
    <definedName name="IQ_CASH_FLOW_LOW_GUIDANCE">"c4241"</definedName>
    <definedName name="IQ_CASH_FLOW_MEDIAN_EST">"c4158"</definedName>
    <definedName name="IQ_CASH_FLOW_NUM_EST">"c4159"</definedName>
    <definedName name="IQ_CASH_FLOW_STDDEV_EST">"c4160"</definedName>
    <definedName name="IQ_CASH_IN_PROCESS_FDIC">"c6386"</definedName>
    <definedName name="IQ_CASH_INTEREST">"c120"</definedName>
    <definedName name="IQ_CASH_INTEREST_FINAN">"c6295"</definedName>
    <definedName name="IQ_CASH_INTEREST_INVEST">"c6294"</definedName>
    <definedName name="IQ_CASH_INTEREST_OPER">"c6293"</definedName>
    <definedName name="IQ_CASH_INVEST">"c121"</definedName>
    <definedName name="IQ_CASH_OPER">"c122"</definedName>
    <definedName name="IQ_CASH_OPER_ACT_OR_EST">"c4164"</definedName>
    <definedName name="IQ_CASH_OPER_EST">"c4163"</definedName>
    <definedName name="IQ_CASH_OPER_GUIDANCE">"c4165"</definedName>
    <definedName name="IQ_CASH_OPER_HIGH_EST">"c4166"</definedName>
    <definedName name="IQ_CASH_OPER_HIGH_GUIDANCE">"c4185"</definedName>
    <definedName name="IQ_CASH_OPER_LOW_EST">"c4244"</definedName>
    <definedName name="IQ_CASH_OPER_LOW_GUIDANCE">"c4225"</definedName>
    <definedName name="IQ_CASH_OPER_MEDIAN_EST">"c4245"</definedName>
    <definedName name="IQ_CASH_OPER_NUM_EST">"c4246"</definedName>
    <definedName name="IQ_CASH_OPER_STDDEV_EST">"c4247"</definedName>
    <definedName name="IQ_CASH_SEGREG">"c123"</definedName>
    <definedName name="IQ_CASH_SHARE">"c1911"</definedName>
    <definedName name="IQ_CASH_ST">"c1355"</definedName>
    <definedName name="IQ_CASH_ST_INVEST">"c124"</definedName>
    <definedName name="IQ_CASH_ST_INVEST_EST">"c4249"</definedName>
    <definedName name="IQ_CASH_ST_INVEST_GUIDANCE">"c4250"</definedName>
    <definedName name="IQ_CASH_ST_INVEST_HIGH_EST">"c4251"</definedName>
    <definedName name="IQ_CASH_ST_INVEST_HIGH_GUIDANCE">"c4195"</definedName>
    <definedName name="IQ_CASH_ST_INVEST_LOW_EST">"c4252"</definedName>
    <definedName name="IQ_CASH_ST_INVEST_LOW_GUIDANCE">"c4235"</definedName>
    <definedName name="IQ_CASH_ST_INVEST_MEDIAN_EST">"c4253"</definedName>
    <definedName name="IQ_CASH_ST_INVEST_NUM_EST">"c4254"</definedName>
    <definedName name="IQ_CASH_ST_INVEST_STDDEV_EST">"c4255"</definedName>
    <definedName name="IQ_CASH_TAXES">"c125"</definedName>
    <definedName name="IQ_CASH_TAXES_FINAN">"c6292"</definedName>
    <definedName name="IQ_CASH_TAXES_INVEST">"c6291"</definedName>
    <definedName name="IQ_CASH_TAXES_OPER">"c6290"</definedName>
    <definedName name="IQ_CCE_FDIC">"c6296"</definedName>
    <definedName name="IQ_CEDED_AH_EARNED">"c2743"</definedName>
    <definedName name="IQ_CEDED_CLAIM_EXP_INCUR">"c2756"</definedName>
    <definedName name="IQ_CEDED_CLAIM_EXP_PAID">"c2759"</definedName>
    <definedName name="IQ_CEDED_CLAIM_EXP_RES">"c2753"</definedName>
    <definedName name="IQ_CEDED_EARNED">"c2733"</definedName>
    <definedName name="IQ_CEDED_LIFE_EARNED">"c2738"</definedName>
    <definedName name="IQ_CEDED_LIFE_IN_FORCE">"c2768"</definedName>
    <definedName name="IQ_CEDED_PC_EARNED">"c2748"</definedName>
    <definedName name="IQ_CEDED_WRITTEN">"c2727"</definedName>
    <definedName name="IQ_CFO_10YR_ANN_CAGR">"c6055"</definedName>
    <definedName name="IQ_CFO_10YR_ANN_GROWTH">"c126"</definedName>
    <definedName name="IQ_CFO_1YR_ANN_GROWTH">"c127"</definedName>
    <definedName name="IQ_CFO_2YR_ANN_CAGR">"c6056"</definedName>
    <definedName name="IQ_CFO_2YR_ANN_GROWTH">"c128"</definedName>
    <definedName name="IQ_CFO_3YR_ANN_CAGR">"c6057"</definedName>
    <definedName name="IQ_CFO_3YR_ANN_GROWTH">"c129"</definedName>
    <definedName name="IQ_CFO_5YR_ANN_CAGR">"c6058"</definedName>
    <definedName name="IQ_CFO_5YR_ANN_GROWTH">"c130"</definedName>
    <definedName name="IQ_CFO_7YR_ANN_CAGR">"c6059"</definedName>
    <definedName name="IQ_CFO_7YR_ANN_GROWTH">"c131"</definedName>
    <definedName name="IQ_CFO_CURRENT_LIAB">"c132"</definedName>
    <definedName name="IQ_CFPS_ACT_OR_EST">"c2217"</definedName>
    <definedName name="IQ_CFPS_ACT_OR_EST_REUT">"c5463"</definedName>
    <definedName name="IQ_CFPS_EST">"c1667"</definedName>
    <definedName name="IQ_CFPS_EST_REUT">"c3844"</definedName>
    <definedName name="IQ_CFPS_GUIDANCE">"c4256"</definedName>
    <definedName name="IQ_CFPS_HIGH_EST">"c1669"</definedName>
    <definedName name="IQ_CFPS_HIGH_EST_REUT">"c3846"</definedName>
    <definedName name="IQ_CFPS_HIGH_GUIDANCE">"c4167"</definedName>
    <definedName name="IQ_CFPS_LOW_EST">"c1670"</definedName>
    <definedName name="IQ_CFPS_LOW_EST_REUT">"c3847"</definedName>
    <definedName name="IQ_CFPS_LOW_GUIDANCE">"c4207"</definedName>
    <definedName name="IQ_CFPS_MEDIAN_EST">"c1668"</definedName>
    <definedName name="IQ_CFPS_MEDIAN_EST_REUT">"c3845"</definedName>
    <definedName name="IQ_CFPS_NUM_EST">"c1671"</definedName>
    <definedName name="IQ_CFPS_NUM_EST_REUT">"c3848"</definedName>
    <definedName name="IQ_CFPS_STDDEV_EST">"c1672"</definedName>
    <definedName name="IQ_CFPS_STDDEV_EST_REUT">"c3849"</definedName>
    <definedName name="IQ_CH">110000</definedName>
    <definedName name="IQ_CHANGE_AP">"c133"</definedName>
    <definedName name="IQ_CHANGE_AP_BNK">"c134"</definedName>
    <definedName name="IQ_CHANGE_AP_BR">"c135"</definedName>
    <definedName name="IQ_CHANGE_AP_FIN">"c136"</definedName>
    <definedName name="IQ_CHANGE_AP_INS">"c137"</definedName>
    <definedName name="IQ_CHANGE_AP_RE">"c6200"</definedName>
    <definedName name="IQ_CHANGE_AP_REIT">"c138"</definedName>
    <definedName name="IQ_CHANGE_AP_UTI">"c139"</definedName>
    <definedName name="IQ_CHANGE_AR">"c140"</definedName>
    <definedName name="IQ_CHANGE_AR_BNK">"c141"</definedName>
    <definedName name="IQ_CHANGE_AR_BR">"c142"</definedName>
    <definedName name="IQ_CHANGE_AR_FIN">"c143"</definedName>
    <definedName name="IQ_CHANGE_AR_INS">"c144"</definedName>
    <definedName name="IQ_CHANGE_AR_RE">"c6201"</definedName>
    <definedName name="IQ_CHANGE_AR_REIT">"c145"</definedName>
    <definedName name="IQ_CHANGE_AR_UTI">"c146"</definedName>
    <definedName name="IQ_CHANGE_DEF_TAX">"c147"</definedName>
    <definedName name="IQ_CHANGE_DEPOSIT_ACCT">"c148"</definedName>
    <definedName name="IQ_CHANGE_INC_TAX">"c149"</definedName>
    <definedName name="IQ_CHANGE_INS_RES_LIAB">"c150"</definedName>
    <definedName name="IQ_CHANGE_INVENT_REAL_APR_FC_UNUSED_UNUSED_UNUSED">"c8500"</definedName>
    <definedName name="IQ_CHANGE_INVENT_REAL_APR_UNUSED_UNUSED_UNUSED">"c7620"</definedName>
    <definedName name="IQ_CHANGE_INVENT_REAL_FC_UNUSED_UNUSED_UNUSED">"c7840"</definedName>
    <definedName name="IQ_CHANGE_INVENT_REAL_POP_FC_UNUSED_UNUSED_UNUSED">"c8060"</definedName>
    <definedName name="IQ_CHANGE_INVENT_REAL_POP_UNUSED_UNUSED_UNUSED">"c7180"</definedName>
    <definedName name="IQ_CHANGE_INVENT_REAL_UNUSED_UNUSED_UNUSED">"c6960"</definedName>
    <definedName name="IQ_CHANGE_INVENT_REAL_YOY_FC_UNUSED_UNUSED_UNUSED">"c8280"</definedName>
    <definedName name="IQ_CHANGE_INVENT_REAL_YOY_UNUSED_UNUSED_UNUSED">"c7400"</definedName>
    <definedName name="IQ_CHANGE_INVENTORY">"c151"</definedName>
    <definedName name="IQ_CHANGE_NET_OPER_ASSETS">"c3592"</definedName>
    <definedName name="IQ_CHANGE_NET_WORKING_CAPITAL">"c1909"</definedName>
    <definedName name="IQ_CHANGE_OTHER_NET_OPER_ASSETS">"c3593"</definedName>
    <definedName name="IQ_CHANGE_OTHER_NET_OPER_ASSETS_BNK">"c3594"</definedName>
    <definedName name="IQ_CHANGE_OTHER_NET_OPER_ASSETS_BR">"c3595"</definedName>
    <definedName name="IQ_CHANGE_OTHER_NET_OPER_ASSETS_FIN">"c3596"</definedName>
    <definedName name="IQ_CHANGE_OTHER_NET_OPER_ASSETS_INS">"c3597"</definedName>
    <definedName name="IQ_CHANGE_OTHER_NET_OPER_ASSETS_RE">"c6285"</definedName>
    <definedName name="IQ_CHANGE_OTHER_NET_OPER_ASSETS_REIT">"c3598"</definedName>
    <definedName name="IQ_CHANGE_OTHER_NET_OPER_ASSETS_UTI">"c3599"</definedName>
    <definedName name="IQ_CHANGE_OTHER_WORK_CAP">"c152"</definedName>
    <definedName name="IQ_CHANGE_OTHER_WORK_CAP_BNK">"c153"</definedName>
    <definedName name="IQ_CHANGE_OTHER_WORK_CAP_BR">"c154"</definedName>
    <definedName name="IQ_CHANGE_OTHER_WORK_CAP_FIN">"c155"</definedName>
    <definedName name="IQ_CHANGE_OTHER_WORK_CAP_INS">"c156"</definedName>
    <definedName name="IQ_CHANGE_OTHER_WORK_CAP_REIT">"c157"</definedName>
    <definedName name="IQ_CHANGE_OTHER_WORK_CAP_UTI">"c158"</definedName>
    <definedName name="IQ_CHANGE_TRADING_ASSETS">"c159"</definedName>
    <definedName name="IQ_CHANGE_UNEARN_REV">"c160"</definedName>
    <definedName name="IQ_CHANGE_WORK_CAP">"c161"</definedName>
    <definedName name="IQ_CHANGES_WORK_CAP">"c1357"</definedName>
    <definedName name="IQ_CHARGE_OFFS_1_4_FAMILY_FDIC">"c6756"</definedName>
    <definedName name="IQ_CHARGE_OFFS_1_4_FAMILY_LOANS_FDIC">"c6714"</definedName>
    <definedName name="IQ_CHARGE_OFFS_AUTO_LOANS_FDIC">"c6708"</definedName>
    <definedName name="IQ_CHARGE_OFFS_CL_LOANS_FDIC">"c6709"</definedName>
    <definedName name="IQ_CHARGE_OFFS_COMMERCIAL_INDUSTRIAL_FDIC">"c6759"</definedName>
    <definedName name="IQ_CHARGE_OFFS_COMMERCIAL_RE_FDIC">"c6754"</definedName>
    <definedName name="IQ_CHARGE_OFFS_COMMERCIAL_RE_NOT_SECURED_FDIC">"c6764"</definedName>
    <definedName name="IQ_CHARGE_OFFS_CONSTRUCTION_DEVELOPMENT_FDIC">"c6753"</definedName>
    <definedName name="IQ_CHARGE_OFFS_CREDIT_CARDS_FDIC">"c6761"</definedName>
    <definedName name="IQ_CHARGE_OFFS_CREDIT_CARDS_RECEIVABLES_FDIC">"c6711"</definedName>
    <definedName name="IQ_CHARGE_OFFS_GROSS">"c162"</definedName>
    <definedName name="IQ_CHARGE_OFFS_HOME_EQUITY_FDIC">"c6757"</definedName>
    <definedName name="IQ_CHARGE_OFFS_HOME_EQUITY_LINES_FDIC">"c6712"</definedName>
    <definedName name="IQ_CHARGE_OFFS_INDIVIDUALS_FDIC">"c6760"</definedName>
    <definedName name="IQ_CHARGE_OFFS_MULTI_FAMILY_FDIC">"c6755"</definedName>
    <definedName name="IQ_CHARGE_OFFS_NET">"c163"</definedName>
    <definedName name="IQ_CHARGE_OFFS_OTHER_1_4_FAMILY_FDIC">"c6758"</definedName>
    <definedName name="IQ_CHARGE_OFFS_OTHER_CONSUMER_LOANS_FDIC">"c6710"</definedName>
    <definedName name="IQ_CHARGE_OFFS_OTHER_INDIVIDUAL_FDIC">"c6762"</definedName>
    <definedName name="IQ_CHARGE_OFFS_OTHER_LOANS_FDIC">"c6763"</definedName>
    <definedName name="IQ_CHARGE_OFFS_OTHER_LOANS_OTHER_FDIC">"c6713"</definedName>
    <definedName name="IQ_CHARGE_OFFS_RE_LOANS_FDIC">"c6752"</definedName>
    <definedName name="IQ_CHARGE_OFFS_RECOVERED">"c164"</definedName>
    <definedName name="IQ_CHARGE_OFFS_TOTAL_AVG_LOANS">"c165"</definedName>
    <definedName name="IQ_CITY">"c166"</definedName>
    <definedName name="IQ_CL_DUE_AFTER_FIVE">"c167"</definedName>
    <definedName name="IQ_CL_DUE_CY">"c168"</definedName>
    <definedName name="IQ_CL_DUE_CY1">"c169"</definedName>
    <definedName name="IQ_CL_DUE_CY2">"c170"</definedName>
    <definedName name="IQ_CL_DUE_CY3">"c171"</definedName>
    <definedName name="IQ_CL_DUE_CY4">"c172"</definedName>
    <definedName name="IQ_CL_DUE_NEXT_FIVE">"c173"</definedName>
    <definedName name="IQ_CL_OBLIGATION_IMMEDIATE">"c2253"</definedName>
    <definedName name="IQ_CLASSA_OPTIONS_BEG_OS">"c2679"</definedName>
    <definedName name="IQ_CLASSA_OPTIONS_CANCELLED">"c2682"</definedName>
    <definedName name="IQ_CLASSA_OPTIONS_END_OS">"c2683"</definedName>
    <definedName name="IQ_CLASSA_OPTIONS_EXERCISABLE_END_OS">"c5809"</definedName>
    <definedName name="IQ_CLASSA_OPTIONS_EXERCISED">"c2681"</definedName>
    <definedName name="IQ_CLASSA_OPTIONS_GRANTED">"c2680"</definedName>
    <definedName name="IQ_CLASSA_OPTIONS_STRIKE_PRICE_BEG_OS">"c5810"</definedName>
    <definedName name="IQ_CLASSA_OPTIONS_STRIKE_PRICE_CANCELLED">"c5812"</definedName>
    <definedName name="IQ_CLASSA_OPTIONS_STRIKE_PRICE_EXERCISABLE">"c5813"</definedName>
    <definedName name="IQ_CLASSA_OPTIONS_STRIKE_PRICE_EXERCISED">"c5811"</definedName>
    <definedName name="IQ_CLASSA_OPTIONS_STRIKE_PRICE_OS">"c2684"</definedName>
    <definedName name="IQ_CLASSA_OUTSTANDING_BS_DATE">"c1971"</definedName>
    <definedName name="IQ_CLASSA_OUTSTANDING_FILING_DATE">"c1973"</definedName>
    <definedName name="IQ_CLASSA_STRIKE_PRICE_GRANTED">"c2685"</definedName>
    <definedName name="IQ_CLASSA_WARRANTS_BEG_OS">"c2705"</definedName>
    <definedName name="IQ_CLASSA_WARRANTS_CANCELLED">"c2708"</definedName>
    <definedName name="IQ_CLASSA_WARRANTS_END_OS">"c2709"</definedName>
    <definedName name="IQ_CLASSA_WARRANTS_EXERCISED">"c2707"</definedName>
    <definedName name="IQ_CLASSA_WARRANTS_ISSUED">"c2706"</definedName>
    <definedName name="IQ_CLASSA_WARRANTS_STRIKE_PRICE_ISSUED">"c2711"</definedName>
    <definedName name="IQ_CLASSA_WARRANTS_STRIKE_PRICE_OS">"c2710"</definedName>
    <definedName name="IQ_CLOSEPRICE">"c174"</definedName>
    <definedName name="IQ_CLOSEPRICE_ADJ">"c2115"</definedName>
    <definedName name="IQ_CMO_FDIC">"c6406"</definedName>
    <definedName name="IQ_COGS">"c175"</definedName>
    <definedName name="IQ_COLLECTION_DOMESTIC_FDIC">"c6387"</definedName>
    <definedName name="IQ_COMBINED_RATIO">"c176"</definedName>
    <definedName name="IQ_COMMERCIAL_BANKS_DEPOSITS_FOREIGN_FDIC">"c6480"</definedName>
    <definedName name="IQ_COMMERCIAL_BANKS_LOANS_FDIC">"c6434"</definedName>
    <definedName name="IQ_COMMERCIAL_BANKS_NONTRANSACTION_ACCOUNTS_FDIC">"c6548"</definedName>
    <definedName name="IQ_COMMERCIAL_BANKS_TOTAL_DEPOSITS_FDIC">"c6474"</definedName>
    <definedName name="IQ_COMMERCIAL_BANKS_TOTAL_LOANS_FOREIGN_FDIC">"c6444"</definedName>
    <definedName name="IQ_COMMERCIAL_BANKS_TRANSACTION_ACCOUNTS_FDIC">"c6540"</definedName>
    <definedName name="IQ_COMMERCIAL_DOM">"c177"</definedName>
    <definedName name="IQ_COMMERCIAL_FIRE_WRITTEN">"c178"</definedName>
    <definedName name="IQ_COMMERCIAL_INDUSTRIAL_CHARGE_OFFS_FDIC">"c6598"</definedName>
    <definedName name="IQ_COMMERCIAL_INDUSTRIAL_LOANS_NET_FDIC">"c6317"</definedName>
    <definedName name="IQ_COMMERCIAL_INDUSTRIAL_NET_CHARGE_OFFS_FDIC">"c6636"</definedName>
    <definedName name="IQ_COMMERCIAL_INDUSTRIAL_RECOVERIES_FDIC">"c6617"</definedName>
    <definedName name="IQ_COMMERCIAL_INDUSTRIAL_TOTAL_LOANS_FOREIGN_FDIC">"c6451"</definedName>
    <definedName name="IQ_COMMERCIAL_MORT">"c179"</definedName>
    <definedName name="IQ_COMMERCIAL_RE_CONSTRUCTION_LAND_DEV_FDIC">"c6526"</definedName>
    <definedName name="IQ_COMMERCIAL_RE_LOANS_FDIC">"c6312"</definedName>
    <definedName name="IQ_COMMISS_FEES">"c180"</definedName>
    <definedName name="IQ_COMMISSION_DEF">"c181"</definedName>
    <definedName name="IQ_COMMITMENTS_MATURITY_EXCEEDING_1YR_FDIC">"c6531"</definedName>
    <definedName name="IQ_COMMITMENTS_NOT_SECURED_RE_FDIC">"c6528"</definedName>
    <definedName name="IQ_COMMITMENTS_SECURED_RE_FDIC">"c6527"</definedName>
    <definedName name="IQ_COMMODITY_EXPOSURES_FDIC">"c6665"</definedName>
    <definedName name="IQ_COMMON">"c182"</definedName>
    <definedName name="IQ_COMMON_APIC">"c183"</definedName>
    <definedName name="IQ_COMMON_APIC_BNK">"c184"</definedName>
    <definedName name="IQ_COMMON_APIC_BR">"c185"</definedName>
    <definedName name="IQ_COMMON_APIC_FIN">"c186"</definedName>
    <definedName name="IQ_COMMON_APIC_INS">"c187"</definedName>
    <definedName name="IQ_COMMON_APIC_RE">"c6202"</definedName>
    <definedName name="IQ_COMMON_APIC_REIT">"c188"</definedName>
    <definedName name="IQ_COMMON_APIC_UTI">"c189"</definedName>
    <definedName name="IQ_COMMON_DIV">"c3006"</definedName>
    <definedName name="IQ_COMMON_DIV_CF">"c190"</definedName>
    <definedName name="IQ_COMMON_EQUITY_10YR_ANN_CAGR">"c6060"</definedName>
    <definedName name="IQ_COMMON_EQUITY_10YR_ANN_GROWTH">"c191"</definedName>
    <definedName name="IQ_COMMON_EQUITY_1YR_ANN_GROWTH">"c192"</definedName>
    <definedName name="IQ_COMMON_EQUITY_2YR_ANN_CAGR">"c6061"</definedName>
    <definedName name="IQ_COMMON_EQUITY_2YR_ANN_GROWTH">"c193"</definedName>
    <definedName name="IQ_COMMON_EQUITY_3YR_ANN_CAGR">"c6062"</definedName>
    <definedName name="IQ_COMMON_EQUITY_3YR_ANN_GROWTH">"c194"</definedName>
    <definedName name="IQ_COMMON_EQUITY_5YR_ANN_CAGR">"c6063"</definedName>
    <definedName name="IQ_COMMON_EQUITY_5YR_ANN_GROWTH">"c195"</definedName>
    <definedName name="IQ_COMMON_EQUITY_7YR_ANN_CAGR">"c6064"</definedName>
    <definedName name="IQ_COMMON_EQUITY_7YR_ANN_GROWTH">"c196"</definedName>
    <definedName name="IQ_COMMON_FDIC">"c6350"</definedName>
    <definedName name="IQ_COMMON_ISSUED">"c197"</definedName>
    <definedName name="IQ_COMMON_ISSUED_BNK">"c198"</definedName>
    <definedName name="IQ_COMMON_ISSUED_BR">"c199"</definedName>
    <definedName name="IQ_COMMON_ISSUED_FIN">"c200"</definedName>
    <definedName name="IQ_COMMON_ISSUED_INS">"c201"</definedName>
    <definedName name="IQ_COMMON_ISSUED_RE">"c6203"</definedName>
    <definedName name="IQ_COMMON_ISSUED_REIT">"c202"</definedName>
    <definedName name="IQ_COMMON_ISSUED_UTI">"c203"</definedName>
    <definedName name="IQ_COMMON_PER_ADR">"c204"</definedName>
    <definedName name="IQ_COMMON_PREF_DIV_CF">"c205"</definedName>
    <definedName name="IQ_COMMON_REP">"c206"</definedName>
    <definedName name="IQ_COMMON_REP_BNK">"c207"</definedName>
    <definedName name="IQ_COMMON_REP_BR">"c208"</definedName>
    <definedName name="IQ_COMMON_REP_FIN">"c209"</definedName>
    <definedName name="IQ_COMMON_REP_INS">"c210"</definedName>
    <definedName name="IQ_COMMON_REP_RE">"c6204"</definedName>
    <definedName name="IQ_COMMON_REP_REIT">"c211"</definedName>
    <definedName name="IQ_COMMON_REP_UTI">"c212"</definedName>
    <definedName name="IQ_COMMON_STOCK">"c1358"</definedName>
    <definedName name="IQ_COMP_BENEFITS">"c213"</definedName>
    <definedName name="IQ_COMPANY_ADDRESS">"c214"</definedName>
    <definedName name="IQ_COMPANY_ID">"c3513"</definedName>
    <definedName name="IQ_COMPANY_NAME">"c215"</definedName>
    <definedName name="IQ_COMPANY_NAME_LONG">"c1585"</definedName>
    <definedName name="IQ_COMPANY_NOTE">"c6792"</definedName>
    <definedName name="IQ_COMPANY_PHONE">"c216"</definedName>
    <definedName name="IQ_COMPANY_STATUS">"c2097"</definedName>
    <definedName name="IQ_COMPANY_STREET1">"c217"</definedName>
    <definedName name="IQ_COMPANY_STREET2">"c218"</definedName>
    <definedName name="IQ_COMPANY_TICKER">"c219"</definedName>
    <definedName name="IQ_COMPANY_TYPE">"c2096"</definedName>
    <definedName name="IQ_COMPANY_WEBSITE">"c220"</definedName>
    <definedName name="IQ_COMPANY_ZIP">"c221"</definedName>
    <definedName name="IQ_CONSTRUCTION_DEV_LOANS_FDIC">"c6313"</definedName>
    <definedName name="IQ_CONSTRUCTION_LAND_DEVELOPMENT_CHARGE_OFFS_FDIC">"c6594"</definedName>
    <definedName name="IQ_CONSTRUCTION_LAND_DEVELOPMENT_NET_CHARGE_OFFS_FDIC">"c6632"</definedName>
    <definedName name="IQ_CONSTRUCTION_LAND_DEVELOPMENT_RECOVERIES_FDIC">"c6613"</definedName>
    <definedName name="IQ_CONSTRUCTION_LOANS">"c222"</definedName>
    <definedName name="IQ_CONSUMER_LOANS">"c223"</definedName>
    <definedName name="IQ_CONTRACTS_OTHER_COMMODITIES_EQUITIES._FDIC">"c6522"</definedName>
    <definedName name="IQ_CONTRACTS_OTHER_COMMODITIES_EQUITIES_FDIC">"c6522"</definedName>
    <definedName name="IQ_CONV_DATE">"c2191"</definedName>
    <definedName name="IQ_CONV_EXP_DATE">"c3043"</definedName>
    <definedName name="IQ_CONV_PREMIUM">"c2195"</definedName>
    <definedName name="IQ_CONV_PRICE">"c2193"</definedName>
    <definedName name="IQ_CONV_RATE">"c2192"</definedName>
    <definedName name="IQ_CONV_RATIO">"c2192"</definedName>
    <definedName name="IQ_CONV_SECURITY">"c2189"</definedName>
    <definedName name="IQ_CONV_SECURITY_ISSUER">"c2190"</definedName>
    <definedName name="IQ_CONV_SECURITY_PRICE">"c2194"</definedName>
    <definedName name="IQ_CONVERT">"c2536"</definedName>
    <definedName name="IQ_CONVERT_PCT">"c2537"</definedName>
    <definedName name="IQ_CONVEXITY">"c2182"</definedName>
    <definedName name="IQ_CONVEYED_TO_OTHERS_FDIC">"c6534"</definedName>
    <definedName name="IQ_CORE_CAPITAL_RATIO_FDIC">"c6745"</definedName>
    <definedName name="IQ_CORP_GOODS_PRICE_INDEX_APR_FC_UNUSED_UNUSED_UNUSED">"c8381"</definedName>
    <definedName name="IQ_CORP_GOODS_PRICE_INDEX_APR_UNUSED_UNUSED_UNUSED">"c7501"</definedName>
    <definedName name="IQ_CORP_GOODS_PRICE_INDEX_FC_UNUSED_UNUSED_UNUSED">"c7721"</definedName>
    <definedName name="IQ_CORP_GOODS_PRICE_INDEX_POP_FC_UNUSED_UNUSED_UNUSED">"c7941"</definedName>
    <definedName name="IQ_CORP_GOODS_PRICE_INDEX_POP_UNUSED_UNUSED_UNUSED">"c7061"</definedName>
    <definedName name="IQ_CORP_GOODS_PRICE_INDEX_UNUSED_UNUSED_UNUSED">"c6841"</definedName>
    <definedName name="IQ_CORP_GOODS_PRICE_INDEX_YOY_FC_UNUSED_UNUSED_UNUSED">"c8161"</definedName>
    <definedName name="IQ_CORP_GOODS_PRICE_INDEX_YOY_UNUSED_UNUSED_UNUSED">"c7281"</definedName>
    <definedName name="IQ_COST_BORROWING">"c2936"</definedName>
    <definedName name="IQ_COST_BORROWINGS">"c225"</definedName>
    <definedName name="IQ_COST_OF_FUNDING_ASSETS_FDIC">"c6725"</definedName>
    <definedName name="IQ_COST_REV">"c226"</definedName>
    <definedName name="IQ_COST_REVENUE">"c1359"</definedName>
    <definedName name="IQ_COST_SAVINGS">"c227"</definedName>
    <definedName name="IQ_COST_SERVICE">"c228"</definedName>
    <definedName name="IQ_COST_TOTAL_BORROWINGS">"c229"</definedName>
    <definedName name="IQ_COUNTRY_NAME">"c230"</definedName>
    <definedName name="IQ_COVERED_POPS">"c2124"</definedName>
    <definedName name="IQ_CP">"c2495"</definedName>
    <definedName name="IQ_CP_PCT">"c2496"</definedName>
    <definedName name="IQ_CQ">5000</definedName>
    <definedName name="IQ_CREDIT_CARD_CHARGE_OFFS_FDIC">"c6652"</definedName>
    <definedName name="IQ_CREDIT_CARD_FEE_BNK">"c231"</definedName>
    <definedName name="IQ_CREDIT_CARD_FEE_FIN">"c1583"</definedName>
    <definedName name="IQ_CREDIT_CARD_LINES_FDIC">"c6525"</definedName>
    <definedName name="IQ_CREDIT_CARD_LOANS_FDIC">"c6319"</definedName>
    <definedName name="IQ_CREDIT_CARD_NET_CHARGE_OFFS_FDIC">"c6654"</definedName>
    <definedName name="IQ_CREDIT_CARD_RECOVERIES_FDIC">"c6653"</definedName>
    <definedName name="IQ_CREDIT_LOSS_CF">"c232"</definedName>
    <definedName name="IQ_CREDIT_LOSS_PROVISION_NET_CHARGE_OFFS_FDIC">"c6734"</definedName>
    <definedName name="IQ_CUMULATIVE_SPLIT_FACTOR">"c2094"</definedName>
    <definedName name="IQ_CURR_ACCT_BALANCE_APR_FC_UNUSED_UNUSED_UNUSED">"c8387"</definedName>
    <definedName name="IQ_CURR_ACCT_BALANCE_APR_UNUSED_UNUSED_UNUSED">"c7507"</definedName>
    <definedName name="IQ_CURR_ACCT_BALANCE_FC_UNUSED_UNUSED_UNUSED">"c7727"</definedName>
    <definedName name="IQ_CURR_ACCT_BALANCE_POP_FC_UNUSED_UNUSED_UNUSED">"c7947"</definedName>
    <definedName name="IQ_CURR_ACCT_BALANCE_POP_UNUSED_UNUSED_UNUSED">"c7067"</definedName>
    <definedName name="IQ_CURR_ACCT_BALANCE_UNUSED_UNUSED_UNUSED">"c6847"</definedName>
    <definedName name="IQ_CURR_ACCT_BALANCE_YOY_FC_UNUSED_UNUSED_UNUSED">"c8167"</definedName>
    <definedName name="IQ_CURR_ACCT_BALANCE_YOY_UNUSED_UNUSED_UNUSED">"c7287"</definedName>
    <definedName name="IQ_CURR_DOMESTIC_TAXES">"c2074"</definedName>
    <definedName name="IQ_CURR_FOREIGN_TAXES">"c2075"</definedName>
    <definedName name="IQ_CURRENCY_COIN_DOMESTIC_FDIC">"c6388"</definedName>
    <definedName name="IQ_CURRENCY_FACTOR_BS">"c233"</definedName>
    <definedName name="IQ_CURRENCY_FACTOR_IS">"c234"</definedName>
    <definedName name="IQ_CURRENCY_GAIN">"c235"</definedName>
    <definedName name="IQ_CURRENCY_GAIN_BR">"c236"</definedName>
    <definedName name="IQ_CURRENCY_GAIN_FIN">"c237"</definedName>
    <definedName name="IQ_CURRENCY_GAIN_INS">"c238"</definedName>
    <definedName name="IQ_CURRENCY_GAIN_RE">"c6205"</definedName>
    <definedName name="IQ_CURRENCY_GAIN_REIT">"c239"</definedName>
    <definedName name="IQ_CURRENCY_GAIN_UTI">"c240"</definedName>
    <definedName name="IQ_CURRENT_PORT">"c241"</definedName>
    <definedName name="IQ_CURRENT_PORT_BNK">"c242"</definedName>
    <definedName name="IQ_CURRENT_PORT_DEBT">"c243"</definedName>
    <definedName name="IQ_CURRENT_PORT_DEBT_BNK">"c244"</definedName>
    <definedName name="IQ_CURRENT_PORT_DEBT_BR">"c1567"</definedName>
    <definedName name="IQ_CURRENT_PORT_DEBT_FIN">"c1568"</definedName>
    <definedName name="IQ_CURRENT_PORT_DEBT_INS">"c1569"</definedName>
    <definedName name="IQ_CURRENT_PORT_DEBT_RE">"c6283"</definedName>
    <definedName name="IQ_CURRENT_PORT_DEBT_REIT">"c1570"</definedName>
    <definedName name="IQ_CURRENT_PORT_DEBT_UTI">"c1571"</definedName>
    <definedName name="IQ_CURRENT_PORT_FHLB_DEBT">"c5657"</definedName>
    <definedName name="IQ_CURRENT_PORT_LEASES">"c245"</definedName>
    <definedName name="IQ_CURRENT_PORT_PCT">"c2541"</definedName>
    <definedName name="IQ_CURRENT_RATIO">"c246"</definedName>
    <definedName name="IQ_CUSIP">"c2245"</definedName>
    <definedName name="IQ_CY">10000</definedName>
    <definedName name="IQ_DA">"c247"</definedName>
    <definedName name="IQ_DA_BR">"c248"</definedName>
    <definedName name="IQ_DA_CF">"c249"</definedName>
    <definedName name="IQ_DA_CF_BNK">"c250"</definedName>
    <definedName name="IQ_DA_CF_BR">"c251"</definedName>
    <definedName name="IQ_DA_CF_FIN">"c252"</definedName>
    <definedName name="IQ_DA_CF_INS">"c253"</definedName>
    <definedName name="IQ_DA_CF_RE">"c6206"</definedName>
    <definedName name="IQ_DA_CF_REIT">"c254"</definedName>
    <definedName name="IQ_DA_CF_UTI">"c255"</definedName>
    <definedName name="IQ_DA_EBITDA">"c5528"</definedName>
    <definedName name="IQ_DA_FIN">"c256"</definedName>
    <definedName name="IQ_DA_INS">"c257"</definedName>
    <definedName name="IQ_DA_RE">"c6207"</definedName>
    <definedName name="IQ_DA_REIT">"c258"</definedName>
    <definedName name="IQ_DA_SUPPL">"c259"</definedName>
    <definedName name="IQ_DA_SUPPL_BR">"c260"</definedName>
    <definedName name="IQ_DA_SUPPL_CF">"c261"</definedName>
    <definedName name="IQ_DA_SUPPL_CF_BNK">"c262"</definedName>
    <definedName name="IQ_DA_SUPPL_CF_BR">"c263"</definedName>
    <definedName name="IQ_DA_SUPPL_CF_FIN">"c264"</definedName>
    <definedName name="IQ_DA_SUPPL_CF_INS">"c265"</definedName>
    <definedName name="IQ_DA_SUPPL_CF_RE">"c6208"</definedName>
    <definedName name="IQ_DA_SUPPL_CF_REIT">"c266"</definedName>
    <definedName name="IQ_DA_SUPPL_CF_UTI">"c267"</definedName>
    <definedName name="IQ_DA_SUPPL_FIN">"c268"</definedName>
    <definedName name="IQ_DA_SUPPL_INS">"c269"</definedName>
    <definedName name="IQ_DA_SUPPL_RE">"c6209"</definedName>
    <definedName name="IQ_DA_SUPPL_REIT">"c270"</definedName>
    <definedName name="IQ_DA_SUPPL_UTI">"c271"</definedName>
    <definedName name="IQ_DA_UTI">"c272"</definedName>
    <definedName name="IQ_DAILY">500000</definedName>
    <definedName name="IQ_DATED_DATE">"c2185"</definedName>
    <definedName name="IQ_DAY_COUNT">"c2161"</definedName>
    <definedName name="IQ_DAYS_COVER_SHORT">"c1578"</definedName>
    <definedName name="IQ_DAYS_INVENTORY_OUT">"c273"</definedName>
    <definedName name="IQ_DAYS_PAY_OUTST">"c1362"</definedName>
    <definedName name="IQ_DAYS_PAYABLE_OUT">"c274"</definedName>
    <definedName name="IQ_DAYS_SALES_OUT">"c275"</definedName>
    <definedName name="IQ_DAYS_SALES_OUTST">"c1363"</definedName>
    <definedName name="IQ_DEBT_ADJ">"c2515"</definedName>
    <definedName name="IQ_DEBT_ADJ_PCT">"c2516"</definedName>
    <definedName name="IQ_DEBT_EQUITY_EST">"c4257"</definedName>
    <definedName name="IQ_DEBT_EQUITY_HIGH_EST">"c4258"</definedName>
    <definedName name="IQ_DEBT_EQUITY_LOW_EST">"c4259"</definedName>
    <definedName name="IQ_DEBT_EQUITY_MEDIAN_EST">"c4260"</definedName>
    <definedName name="IQ_DEBT_EQUITY_NUM_EST">"c4261"</definedName>
    <definedName name="IQ_DEBT_EQUITY_STDDEV_EST">"c4262"</definedName>
    <definedName name="IQ_DEBT_EQUIV_NET_PBO">"c2938"</definedName>
    <definedName name="IQ_DEBT_EQUIV_OPER_LEASE">"c2935"</definedName>
    <definedName name="IQ_DEF_ACQ_CST">"c1364"</definedName>
    <definedName name="IQ_DEF_AMORT">"c276"</definedName>
    <definedName name="IQ_DEF_AMORT_BNK">"c277"</definedName>
    <definedName name="IQ_DEF_AMORT_BR">"c278"</definedName>
    <definedName name="IQ_DEF_AMORT_FIN">"c279"</definedName>
    <definedName name="IQ_DEF_AMORT_INS">"c280"</definedName>
    <definedName name="IQ_DEF_AMORT_REIT">"c281"</definedName>
    <definedName name="IQ_DEF_AMORT_UTI">"c282"</definedName>
    <definedName name="IQ_DEF_BENEFIT_INTEREST_COST">"c283"</definedName>
    <definedName name="IQ_DEF_BENEFIT_INTEREST_COST_DOMESTIC">"c2652"</definedName>
    <definedName name="IQ_DEF_BENEFIT_INTEREST_COST_FOREIGN">"c2660"</definedName>
    <definedName name="IQ_DEF_BENEFIT_OTHER_COST">"c284"</definedName>
    <definedName name="IQ_DEF_BENEFIT_OTHER_COST_DOMESTIC">"c2654"</definedName>
    <definedName name="IQ_DEF_BENEFIT_OTHER_COST_FOREIGN">"c2662"</definedName>
    <definedName name="IQ_DEF_BENEFIT_ROA">"c285"</definedName>
    <definedName name="IQ_DEF_BENEFIT_ROA_DOMESTIC">"c2653"</definedName>
    <definedName name="IQ_DEF_BENEFIT_ROA_FOREIGN">"c2661"</definedName>
    <definedName name="IQ_DEF_BENEFIT_SERVICE_COST">"c286"</definedName>
    <definedName name="IQ_DEF_BENEFIT_SERVICE_COST_DOMESTIC">"c2651"</definedName>
    <definedName name="IQ_DEF_BENEFIT_SERVICE_COST_FOREIGN">"c2659"</definedName>
    <definedName name="IQ_DEF_BENEFIT_TOTAL_COST">"c287"</definedName>
    <definedName name="IQ_DEF_BENEFIT_TOTAL_COST_DOMESTIC">"c2655"</definedName>
    <definedName name="IQ_DEF_BENEFIT_TOTAL_COST_FOREIGN">"c2663"</definedName>
    <definedName name="IQ_DEF_CHARGES_BR">"c288"</definedName>
    <definedName name="IQ_DEF_CHARGES_CF">"c289"</definedName>
    <definedName name="IQ_DEF_CHARGES_FIN">"c290"</definedName>
    <definedName name="IQ_DEF_CHARGES_INS">"c291"</definedName>
    <definedName name="IQ_DEF_CHARGES_LT">"c292"</definedName>
    <definedName name="IQ_DEF_CHARGES_LT_BNK">"c293"</definedName>
    <definedName name="IQ_DEF_CHARGES_LT_BR">"c294"</definedName>
    <definedName name="IQ_DEF_CHARGES_LT_FIN">"c295"</definedName>
    <definedName name="IQ_DEF_CHARGES_LT_INS">"c296"</definedName>
    <definedName name="IQ_DEF_CHARGES_LT_RE">"c6210"</definedName>
    <definedName name="IQ_DEF_CHARGES_LT_REIT">"c297"</definedName>
    <definedName name="IQ_DEF_CHARGES_LT_UTI">"c298"</definedName>
    <definedName name="IQ_DEF_CHARGES_RE">"c6211"</definedName>
    <definedName name="IQ_DEF_CHARGES_REIT">"c299"</definedName>
    <definedName name="IQ_DEF_CONTRIBUTION_TOTAL_COST">"c300"</definedName>
    <definedName name="IQ_DEF_INC_TAX">"c1365"</definedName>
    <definedName name="IQ_DEF_POLICY_ACQ_COSTS">"c301"</definedName>
    <definedName name="IQ_DEF_POLICY_ACQ_COSTS_CF">"c302"</definedName>
    <definedName name="IQ_DEF_POLICY_AMORT">"c303"</definedName>
    <definedName name="IQ_DEF_TAX_ASSET_LT_BR">"c304"</definedName>
    <definedName name="IQ_DEF_TAX_ASSET_LT_FIN">"c305"</definedName>
    <definedName name="IQ_DEF_TAX_ASSET_LT_INS">"c306"</definedName>
    <definedName name="IQ_DEF_TAX_ASSET_LT_RE">"c6212"</definedName>
    <definedName name="IQ_DEF_TAX_ASSET_LT_REIT">"c307"</definedName>
    <definedName name="IQ_DEF_TAX_ASSET_LT_UTI">"c308"</definedName>
    <definedName name="IQ_DEF_TAX_ASSETS_CURRENT">"c309"</definedName>
    <definedName name="IQ_DEF_TAX_ASSETS_LT">"c310"</definedName>
    <definedName name="IQ_DEF_TAX_ASSETS_LT_BNK">"c311"</definedName>
    <definedName name="IQ_DEF_TAX_LIAB_CURRENT">"c312"</definedName>
    <definedName name="IQ_DEF_TAX_LIAB_LT">"c313"</definedName>
    <definedName name="IQ_DEF_TAX_LIAB_LT_BNK">"c314"</definedName>
    <definedName name="IQ_DEF_TAX_LIAB_LT_BR">"c315"</definedName>
    <definedName name="IQ_DEF_TAX_LIAB_LT_FIN">"c316"</definedName>
    <definedName name="IQ_DEF_TAX_LIAB_LT_INS">"c317"</definedName>
    <definedName name="IQ_DEF_TAX_LIAB_LT_RE">"c6213"</definedName>
    <definedName name="IQ_DEF_TAX_LIAB_LT_REIT">"c318"</definedName>
    <definedName name="IQ_DEF_TAX_LIAB_LT_UTI">"c319"</definedName>
    <definedName name="IQ_DEFERRED_DOMESTIC_TAXES">"c2077"</definedName>
    <definedName name="IQ_DEFERRED_FOREIGN_TAXES">"c2078"</definedName>
    <definedName name="IQ_DEFERRED_INC_TAX">"c1447"</definedName>
    <definedName name="IQ_DEFERRED_TAXES">"c1356"</definedName>
    <definedName name="IQ_DEMAND_DEP">"c320"</definedName>
    <definedName name="IQ_DEMAND_DEPOSITS_FDIC">"c6489"</definedName>
    <definedName name="IQ_DEPOSIT_ACCOUNTS_LESS_THAN_100K_FDIC">"c6494"</definedName>
    <definedName name="IQ_DEPOSIT_ACCOUNTS_MORE_THAN_100K_FDIC">"c6492"</definedName>
    <definedName name="IQ_DEPOSITORY_INSTITUTIONS_CHARGE_OFFS_FDIC">"c6596"</definedName>
    <definedName name="IQ_DEPOSITORY_INSTITUTIONS_NET_CHARGE_OFFS_FDIC">"c6634"</definedName>
    <definedName name="IQ_DEPOSITORY_INSTITUTIONS_RECOVERIES_FDIC">"c6615"</definedName>
    <definedName name="IQ_DEPOSITS_FIN">"c321"</definedName>
    <definedName name="IQ_DEPOSITS_HELD_DOMESTIC_FDIC">"c6340"</definedName>
    <definedName name="IQ_DEPOSITS_HELD_FOREIGN_FDIC">"c6341"</definedName>
    <definedName name="IQ_DEPOSITS_INTEREST_SECURITIES">"c5509"</definedName>
    <definedName name="IQ_DEPOSITS_LESS_THAN_100K_AFTER_THREE_YEARS_FDIC">"c6464"</definedName>
    <definedName name="IQ_DEPOSITS_LESS_THAN_100K_THREE_MONTHS_FDIC">"c6461"</definedName>
    <definedName name="IQ_DEPOSITS_LESS_THAN_100K_THREE_YEARS_FDIC">"c6463"</definedName>
    <definedName name="IQ_DEPOSITS_LESS_THAN_100K_TWELVE_MONTHS_FDIC">"c6462"</definedName>
    <definedName name="IQ_DEPOSITS_MORE_THAN_100K_AFTER_THREE_YEARS_FDIC">"c6469"</definedName>
    <definedName name="IQ_DEPOSITS_MORE_THAN_100K_THREE_MONTHS_FDIC">"c6466"</definedName>
    <definedName name="IQ_DEPOSITS_MORE_THAN_100K_THREE_YEARS_FDIC">"c6468"</definedName>
    <definedName name="IQ_DEPOSITS_MORE_THAN_100K_TWELVE_MONTHS_FDIC">"c6467"</definedName>
    <definedName name="IQ_DEPRE_AMORT">"c1360"</definedName>
    <definedName name="IQ_DEPRE_AMORT_SUPPL">"c1593"</definedName>
    <definedName name="IQ_DEPRE_DEPLE">"c1361"</definedName>
    <definedName name="IQ_DEPRE_SUPP">"c1443"</definedName>
    <definedName name="IQ_DERIVATIVES_FDIC">"c6523"</definedName>
    <definedName name="IQ_DESCRIPTION_LONG">"c1520"</definedName>
    <definedName name="IQ_DEVELOP_LAND">"c323"</definedName>
    <definedName name="IQ_DIFF_LASTCLOSE_TARGET_PRICE">"c1854"</definedName>
    <definedName name="IQ_DIFF_LASTCLOSE_TARGET_PRICE_REUT">"c5436"</definedName>
    <definedName name="IQ_DILUT_ADJUST">"c1621"</definedName>
    <definedName name="IQ_DILUT_EPS_EXCL">"c324"</definedName>
    <definedName name="IQ_DILUT_EPS_INCL">"c325"</definedName>
    <definedName name="IQ_DILUT_EPS_NORM">"c1903"</definedName>
    <definedName name="IQ_DILUT_NI">"c2079"</definedName>
    <definedName name="IQ_DILUT_NORMAL_EPS">"c1594"</definedName>
    <definedName name="IQ_DILUT_OUTSTANDING_CURRENT_EST">"c4263"</definedName>
    <definedName name="IQ_DILUT_OUTSTANDING_CURRENT_HIGH_EST">"c4264"</definedName>
    <definedName name="IQ_DILUT_OUTSTANDING_CURRENT_LOW_EST">"c4265"</definedName>
    <definedName name="IQ_DILUT_OUTSTANDING_CURRENT_MEDIAN_EST">"c4266"</definedName>
    <definedName name="IQ_DILUT_OUTSTANDING_CURRENT_NUM_EST">"c4267"</definedName>
    <definedName name="IQ_DILUT_OUTSTANDING_CURRENT_STDDEV_EST">"c4268"</definedName>
    <definedName name="IQ_DILUT_WEIGHT">"c326"</definedName>
    <definedName name="IQ_DILUT_WEIGHT_EST">"c4269"</definedName>
    <definedName name="IQ_DILUT_WEIGHT_GUIDANCE">"c4270"</definedName>
    <definedName name="IQ_DILUT_WEIGHT_HIGH_EST">"c4271"</definedName>
    <definedName name="IQ_DILUT_WEIGHT_LOW_EST">"c4272"</definedName>
    <definedName name="IQ_DILUT_WEIGHT_MEDIAN_EST">"c4273"</definedName>
    <definedName name="IQ_DILUT_WEIGHT_NUM_EST">"c4274"</definedName>
    <definedName name="IQ_DILUT_WEIGHT_STDDEV_EST">"c4275"</definedName>
    <definedName name="IQ_DIRECT_AH_EARNED">"c2740"</definedName>
    <definedName name="IQ_DIRECT_EARNED">"c2730"</definedName>
    <definedName name="IQ_DIRECT_LIFE_EARNED">"c2735"</definedName>
    <definedName name="IQ_DIRECT_LIFE_IN_FORCE">"c2765"</definedName>
    <definedName name="IQ_DIRECT_PC_EARNED">"c2745"</definedName>
    <definedName name="IQ_DIRECT_WRITTEN">"c2724"</definedName>
    <definedName name="IQ_DISCONT_OPER">"c1367"</definedName>
    <definedName name="IQ_DISCOUNT_RATE_PENSION_DOMESTIC">"c327"</definedName>
    <definedName name="IQ_DISCOUNT_RATE_PENSION_FOREIGN">"c328"</definedName>
    <definedName name="IQ_DISTR_EXCESS_EARN">"c329"</definedName>
    <definedName name="IQ_DISTRIBUTABLE_CASH">"c3002"</definedName>
    <definedName name="IQ_DISTRIBUTABLE_CASH_ACT_OR_EST">"c4278"</definedName>
    <definedName name="IQ_DISTRIBUTABLE_CASH_EST">"c4277"</definedName>
    <definedName name="IQ_DISTRIBUTABLE_CASH_GUIDANCE">"c4279"</definedName>
    <definedName name="IQ_DISTRIBUTABLE_CASH_HIGH_EST">"c4280"</definedName>
    <definedName name="IQ_DISTRIBUTABLE_CASH_HIGH_GUIDANCE">"c4198"</definedName>
    <definedName name="IQ_DISTRIBUTABLE_CASH_LOW_EST">"c4281"</definedName>
    <definedName name="IQ_DISTRIBUTABLE_CASH_LOW_GUIDANCE">"c4238"</definedName>
    <definedName name="IQ_DISTRIBUTABLE_CASH_MEDIAN_EST">"c4282"</definedName>
    <definedName name="IQ_DISTRIBUTABLE_CASH_NUM_EST">"c4283"</definedName>
    <definedName name="IQ_DISTRIBUTABLE_CASH_PAYOUT">"c3005"</definedName>
    <definedName name="IQ_DISTRIBUTABLE_CASH_SHARE">"c3003"</definedName>
    <definedName name="IQ_DISTRIBUTABLE_CASH_SHARE_ACT_OR_EST">"c4286"</definedName>
    <definedName name="IQ_DISTRIBUTABLE_CASH_SHARE_EST">"c4285"</definedName>
    <definedName name="IQ_DISTRIBUTABLE_CASH_SHARE_GUIDANCE">"c4287"</definedName>
    <definedName name="IQ_DISTRIBUTABLE_CASH_SHARE_HIGH_EST">"c4288"</definedName>
    <definedName name="IQ_DISTRIBUTABLE_CASH_SHARE_HIGH_GUIDANCE">"c4199"</definedName>
    <definedName name="IQ_DISTRIBUTABLE_CASH_SHARE_LOW_EST">"c4289"</definedName>
    <definedName name="IQ_DISTRIBUTABLE_CASH_SHARE_LOW_GUIDANCE">"c4239"</definedName>
    <definedName name="IQ_DISTRIBUTABLE_CASH_SHARE_MEDIAN_EST">"c4290"</definedName>
    <definedName name="IQ_DISTRIBUTABLE_CASH_SHARE_NUM_EST">"c4291"</definedName>
    <definedName name="IQ_DISTRIBUTABLE_CASH_SHARE_STDDEV_EST">"c4292"</definedName>
    <definedName name="IQ_DISTRIBUTABLE_CASH_STDDEV_EST">"c4294"</definedName>
    <definedName name="IQ_DIV_AMOUNT">"c3041"</definedName>
    <definedName name="IQ_DIV_PAYMENT_DATE">"c2205"</definedName>
    <definedName name="IQ_DIV_RECORD_DATE">"c2204"</definedName>
    <definedName name="IQ_DIV_SHARE">"c330"</definedName>
    <definedName name="IQ_DIVEST_CF">"c331"</definedName>
    <definedName name="IQ_DIVID_SHARE">"c1366"</definedName>
    <definedName name="IQ_DIVIDEND_EST">"c4296"</definedName>
    <definedName name="IQ_DIVIDEND_HIGH_EST">"c4297"</definedName>
    <definedName name="IQ_DIVIDEND_LOW_EST">"c4298"</definedName>
    <definedName name="IQ_DIVIDEND_MEDIAN_EST">"c4299"</definedName>
    <definedName name="IQ_DIVIDEND_NUM_EST">"c4300"</definedName>
    <definedName name="IQ_DIVIDEND_STDDEV_EST">"c4301"</definedName>
    <definedName name="IQ_DIVIDEND_YIELD">"c332"</definedName>
    <definedName name="IQ_DIVIDENDS_DECLARED_COMMON_FDIC">"c6659"</definedName>
    <definedName name="IQ_DIVIDENDS_DECLARED_PREFERRED_FDIC">"c6658"</definedName>
    <definedName name="IQ_DIVIDENDS_FDIC">"c6660"</definedName>
    <definedName name="IQ_DNB_OTHER_EXP_INC_TAX_US">"c6787"</definedName>
    <definedName name="IQ_DNTM">700000</definedName>
    <definedName name="IQ_DO">"c333"</definedName>
    <definedName name="IQ_DO_ASSETS_CURRENT">"c334"</definedName>
    <definedName name="IQ_DO_ASSETS_LT">"c335"</definedName>
    <definedName name="IQ_DO_CF">"c336"</definedName>
    <definedName name="IQ_DPAC_ACC">"c2799"</definedName>
    <definedName name="IQ_DPAC_AMORT">"c2795"</definedName>
    <definedName name="IQ_DPAC_BEG">"c2791"</definedName>
    <definedName name="IQ_DPAC_COMMISSIONS">"c2792"</definedName>
    <definedName name="IQ_DPAC_END">"c2801"</definedName>
    <definedName name="IQ_DPAC_FX">"c2798"</definedName>
    <definedName name="IQ_DPAC_OTHER_ADJ">"c2800"</definedName>
    <definedName name="IQ_DPAC_OTHERS">"c2793"</definedName>
    <definedName name="IQ_DPAC_PERIOD">"c2794"</definedName>
    <definedName name="IQ_DPAC_REAL_GAIN">"c2797"</definedName>
    <definedName name="IQ_DPAC_UNREAL_GAIN">"c2796"</definedName>
    <definedName name="IQ_DPS_10YR_ANN_CAGR">"c6065"</definedName>
    <definedName name="IQ_DPS_10YR_ANN_GROWTH">"c337"</definedName>
    <definedName name="IQ_DPS_1YR_ANN_GROWTH">"c338"</definedName>
    <definedName name="IQ_DPS_2YR_ANN_CAGR">"c6066"</definedName>
    <definedName name="IQ_DPS_2YR_ANN_GROWTH">"c339"</definedName>
    <definedName name="IQ_DPS_3YR_ANN_CAGR">"c6067"</definedName>
    <definedName name="IQ_DPS_3YR_ANN_GROWTH">"c340"</definedName>
    <definedName name="IQ_DPS_5YR_ANN_CAGR">"c6068"</definedName>
    <definedName name="IQ_DPS_5YR_ANN_GROWTH">"c341"</definedName>
    <definedName name="IQ_DPS_7YR_ANN_CAGR">"c6069"</definedName>
    <definedName name="IQ_DPS_7YR_ANN_GROWTH">"c342"</definedName>
    <definedName name="IQ_DPS_ACT_OR_EST">"c2218"</definedName>
    <definedName name="IQ_DPS_ACT_OR_EST_REUT">"c5464"</definedName>
    <definedName name="IQ_DPS_EST">"c1674"</definedName>
    <definedName name="IQ_DPS_EST_BOTTOM_UP">"c5493"</definedName>
    <definedName name="IQ_DPS_EST_BOTTOM_UP_REUT">"c5501"</definedName>
    <definedName name="IQ_DPS_EST_REUT">"c3851"</definedName>
    <definedName name="IQ_DPS_GUIDANCE">"c4302"</definedName>
    <definedName name="IQ_DPS_HIGH_EST">"c1676"</definedName>
    <definedName name="IQ_DPS_HIGH_EST_REUT">"c3853"</definedName>
    <definedName name="IQ_DPS_HIGH_GUIDANCE">"c4168"</definedName>
    <definedName name="IQ_DPS_LOW_EST">"c1677"</definedName>
    <definedName name="IQ_DPS_LOW_EST_REUT">"c3854"</definedName>
    <definedName name="IQ_DPS_LOW_GUIDANCE">"c4208"</definedName>
    <definedName name="IQ_DPS_MEDIAN_EST">"c1675"</definedName>
    <definedName name="IQ_DPS_MEDIAN_EST_REUT">"c3852"</definedName>
    <definedName name="IQ_DPS_NUM_EST">"c1678"</definedName>
    <definedName name="IQ_DPS_NUM_EST_REUT">"c3855"</definedName>
    <definedName name="IQ_DPS_STDDEV_EST">"c1679"</definedName>
    <definedName name="IQ_DPS_STDDEV_EST_REUT">"c3856"</definedName>
    <definedName name="IQ_DURATION">"c2181"</definedName>
    <definedName name="IQ_EARNING_ASSET_YIELD">"c343"</definedName>
    <definedName name="IQ_EARNING_ASSETS_FDIC">"c6360"</definedName>
    <definedName name="IQ_EARNING_ASSETS_YIELD_FDIC">"c6724"</definedName>
    <definedName name="IQ_EARNING_CO">"c344"</definedName>
    <definedName name="IQ_EARNING_CO_10YR_ANN_CAGR">"c6070"</definedName>
    <definedName name="IQ_EARNING_CO_10YR_ANN_GROWTH">"c345"</definedName>
    <definedName name="IQ_EARNING_CO_1YR_ANN_GROWTH">"c346"</definedName>
    <definedName name="IQ_EARNING_CO_2YR_ANN_CAGR">"c6071"</definedName>
    <definedName name="IQ_EARNING_CO_2YR_ANN_GROWTH">"c347"</definedName>
    <definedName name="IQ_EARNING_CO_3YR_ANN_CAGR">"c6072"</definedName>
    <definedName name="IQ_EARNING_CO_3YR_ANN_GROWTH">"c348"</definedName>
    <definedName name="IQ_EARNING_CO_5YR_ANN_CAGR">"c6073"</definedName>
    <definedName name="IQ_EARNING_CO_5YR_ANN_GROWTH">"c349"</definedName>
    <definedName name="IQ_EARNING_CO_7YR_ANN_CAGR">"c6074"</definedName>
    <definedName name="IQ_EARNING_CO_7YR_ANN_GROWTH">"c350"</definedName>
    <definedName name="IQ_EARNING_CO_MARGIN">"c351"</definedName>
    <definedName name="IQ_EARNINGS_ANNOUNCE_DATE">"c1649"</definedName>
    <definedName name="IQ_EARNINGS_ANNOUNCE_DATE_REUT">"c5314"</definedName>
    <definedName name="IQ_EARNINGS_COVERAGE_NET_CHARGE_OFFS_FDIC">"c6735"</definedName>
    <definedName name="IQ_EBIT">"c352"</definedName>
    <definedName name="IQ_EBIT_10YR_ANN_CAGR">"c6075"</definedName>
    <definedName name="IQ_EBIT_10YR_ANN_GROWTH">"c353"</definedName>
    <definedName name="IQ_EBIT_1YR_ANN_GROWTH">"c354"</definedName>
    <definedName name="IQ_EBIT_2YR_ANN_CAGR">"c6076"</definedName>
    <definedName name="IQ_EBIT_2YR_ANN_GROWTH">"c355"</definedName>
    <definedName name="IQ_EBIT_3YR_ANN_CAGR">"c6077"</definedName>
    <definedName name="IQ_EBIT_3YR_ANN_GROWTH">"c356"</definedName>
    <definedName name="IQ_EBIT_5YR_ANN_CAGR">"c6078"</definedName>
    <definedName name="IQ_EBIT_5YR_ANN_GROWTH">"c357"</definedName>
    <definedName name="IQ_EBIT_7YR_ANN_CAGR">"c6079"</definedName>
    <definedName name="IQ_EBIT_7YR_ANN_GROWTH">"c358"</definedName>
    <definedName name="IQ_EBIT_ACT_OR_EST">"c2219"</definedName>
    <definedName name="IQ_EBIT_ACT_OR_EST_REUT">"c5465"</definedName>
    <definedName name="IQ_EBIT_EQ_INC">"c3498"</definedName>
    <definedName name="IQ_EBIT_EQ_INC_EXCL_SBC">"c3502"</definedName>
    <definedName name="IQ_EBIT_EST">"c1681"</definedName>
    <definedName name="IQ_EBIT_EST_REUT">"c5333"</definedName>
    <definedName name="IQ_EBIT_EXCL_SBC">"c3082"</definedName>
    <definedName name="IQ_EBIT_GUIDANCE">"c4303"</definedName>
    <definedName name="IQ_EBIT_GW_ACT_OR_EST">"c4306"</definedName>
    <definedName name="IQ_EBIT_GW_EST">"c4305"</definedName>
    <definedName name="IQ_EBIT_GW_GUIDANCE">"c4307"</definedName>
    <definedName name="IQ_EBIT_GW_HIGH_EST">"c4308"</definedName>
    <definedName name="IQ_EBIT_GW_HIGH_GUIDANCE">"c4171"</definedName>
    <definedName name="IQ_EBIT_GW_LOW_EST">"c4309"</definedName>
    <definedName name="IQ_EBIT_GW_LOW_GUIDANCE">"c4211"</definedName>
    <definedName name="IQ_EBIT_GW_MEDIAN_EST">"c4310"</definedName>
    <definedName name="IQ_EBIT_GW_NUM_EST">"c4311"</definedName>
    <definedName name="IQ_EBIT_GW_STDDEV_EST">"c4312"</definedName>
    <definedName name="IQ_EBIT_HIGH_EST">"c1683"</definedName>
    <definedName name="IQ_EBIT_HIGH_EST_REUT">"c5335"</definedName>
    <definedName name="IQ_EBIT_HIGH_GUIDANCE">"c4172"</definedName>
    <definedName name="IQ_EBIT_INT">"c360"</definedName>
    <definedName name="IQ_EBIT_LOW_EST">"c1684"</definedName>
    <definedName name="IQ_EBIT_LOW_EST_REUT">"c5336"</definedName>
    <definedName name="IQ_EBIT_LOW_GUIDANCE">"c4212"</definedName>
    <definedName name="IQ_EBIT_MARGIN">"c359"</definedName>
    <definedName name="IQ_EBIT_MEDIAN_EST">"c1682"</definedName>
    <definedName name="IQ_EBIT_MEDIAN_EST_REUT">"c5334"</definedName>
    <definedName name="IQ_EBIT_NUM_EST">"c1685"</definedName>
    <definedName name="IQ_EBIT_NUM_EST_REUT">"c5337"</definedName>
    <definedName name="IQ_EBIT_OVER_IE">"c1369"</definedName>
    <definedName name="IQ_EBIT_SBC_ACT_OR_EST">"c4316"</definedName>
    <definedName name="IQ_EBIT_SBC_EST">"c4315"</definedName>
    <definedName name="IQ_EBIT_SBC_GUIDANCE">"c4317"</definedName>
    <definedName name="IQ_EBIT_SBC_GW_ACT_OR_EST">"c4320"</definedName>
    <definedName name="IQ_EBIT_SBC_GW_EST">"c4319"</definedName>
    <definedName name="IQ_EBIT_SBC_GW_GUIDANCE">"c4321"</definedName>
    <definedName name="IQ_EBIT_SBC_GW_HIGH_EST">"c4322"</definedName>
    <definedName name="IQ_EBIT_SBC_GW_HIGH_GUIDANCE">"c4193"</definedName>
    <definedName name="IQ_EBIT_SBC_GW_LOW_EST">"c4323"</definedName>
    <definedName name="IQ_EBIT_SBC_GW_LOW_GUIDANCE">"c4233"</definedName>
    <definedName name="IQ_EBIT_SBC_GW_MEDIAN_EST">"c4324"</definedName>
    <definedName name="IQ_EBIT_SBC_GW_NUM_EST">"c4325"</definedName>
    <definedName name="IQ_EBIT_SBC_GW_STDDEV_EST">"c4326"</definedName>
    <definedName name="IQ_EBIT_SBC_HIGH_EST">"c4328"</definedName>
    <definedName name="IQ_EBIT_SBC_HIGH_GUIDANCE">"c4192"</definedName>
    <definedName name="IQ_EBIT_SBC_LOW_EST">"c4329"</definedName>
    <definedName name="IQ_EBIT_SBC_LOW_GUIDANCE">"c4232"</definedName>
    <definedName name="IQ_EBIT_SBC_MEDIAN_EST">"c4330"</definedName>
    <definedName name="IQ_EBIT_SBC_NUM_EST">"c4331"</definedName>
    <definedName name="IQ_EBIT_SBC_STDDEV_EST">"c4332"</definedName>
    <definedName name="IQ_EBIT_STDDEV_EST">"c1686"</definedName>
    <definedName name="IQ_EBIT_STDDEV_EST_REUT">"c5338"</definedName>
    <definedName name="IQ_EBITA">"c1910"</definedName>
    <definedName name="IQ_EBITA_10YR_ANN_CAGR">"c6184"</definedName>
    <definedName name="IQ_EBITA_10YR_ANN_GROWTH">"c1954"</definedName>
    <definedName name="IQ_EBITA_1YR_ANN_GROWTH">"c1949"</definedName>
    <definedName name="IQ_EBITA_2YR_ANN_CAGR">"c6180"</definedName>
    <definedName name="IQ_EBITA_2YR_ANN_GROWTH">"c1950"</definedName>
    <definedName name="IQ_EBITA_3YR_ANN_CAGR">"c6181"</definedName>
    <definedName name="IQ_EBITA_3YR_ANN_GROWTH">"c1951"</definedName>
    <definedName name="IQ_EBITA_5YR_ANN_CAGR">"c6182"</definedName>
    <definedName name="IQ_EBITA_5YR_ANN_GROWTH">"c1952"</definedName>
    <definedName name="IQ_EBITA_7YR_ANN_CAGR">"c6183"</definedName>
    <definedName name="IQ_EBITA_7YR_ANN_GROWTH">"c1953"</definedName>
    <definedName name="IQ_EBITA_EQ_INC">"c3497"</definedName>
    <definedName name="IQ_EBITA_EQ_INC_EXCL_SBC">"c3501"</definedName>
    <definedName name="IQ_EBITA_EXCL_SBC">"c3080"</definedName>
    <definedName name="IQ_EBITA_MARGIN">"c1963"</definedName>
    <definedName name="IQ_EBITDA">"c361"</definedName>
    <definedName name="IQ_EBITDA_10YR_ANN_CAGR">"c6080"</definedName>
    <definedName name="IQ_EBITDA_10YR_ANN_GROWTH">"c362"</definedName>
    <definedName name="IQ_EBITDA_1YR_ANN_GROWTH">"c363"</definedName>
    <definedName name="IQ_EBITDA_2YR_ANN_CAGR">"c6081"</definedName>
    <definedName name="IQ_EBITDA_2YR_ANN_GROWTH">"c364"</definedName>
    <definedName name="IQ_EBITDA_3YR_ANN_CAGR">"c6082"</definedName>
    <definedName name="IQ_EBITDA_3YR_ANN_GROWTH">"c365"</definedName>
    <definedName name="IQ_EBITDA_5YR_ANN_CAGR">"c6083"</definedName>
    <definedName name="IQ_EBITDA_5YR_ANN_GROWTH">"c366"</definedName>
    <definedName name="IQ_EBITDA_7YR_ANN_CAGR">"c6084"</definedName>
    <definedName name="IQ_EBITDA_7YR_ANN_GROWTH">"c367"</definedName>
    <definedName name="IQ_EBITDA_ACT_OR_EST">"c2215"</definedName>
    <definedName name="IQ_EBITDA_ACT_OR_EST_REUT">"c5462"</definedName>
    <definedName name="IQ_EBITDA_CAPEX_INT">"c368"</definedName>
    <definedName name="IQ_EBITDA_CAPEX_OVER_TOTAL_IE">"c1370"</definedName>
    <definedName name="IQ_EBITDA_EQ_INC">"c3496"</definedName>
    <definedName name="IQ_EBITDA_EQ_INC_EXCL_SBC">"c3500"</definedName>
    <definedName name="IQ_EBITDA_EST">"c369"</definedName>
    <definedName name="IQ_EBITDA_EST_REUT">"c3640"</definedName>
    <definedName name="IQ_EBITDA_EXCL_SBC">"c3081"</definedName>
    <definedName name="IQ_EBITDA_GUIDANCE">"c4334"</definedName>
    <definedName name="IQ_EBITDA_HIGH_EST">"c370"</definedName>
    <definedName name="IQ_EBITDA_HIGH_EST_REUT">"c3642"</definedName>
    <definedName name="IQ_EBITDA_HIGH_GUIDANCE">"c4170"</definedName>
    <definedName name="IQ_EBITDA_INT">"c373"</definedName>
    <definedName name="IQ_EBITDA_LOW_EST">"c371"</definedName>
    <definedName name="IQ_EBITDA_LOW_EST_REUT">"c3643"</definedName>
    <definedName name="IQ_EBITDA_LOW_GUIDANCE">"c4210"</definedName>
    <definedName name="IQ_EBITDA_MARGIN">"c372"</definedName>
    <definedName name="IQ_EBITDA_MEDIAN_EST">"c1663"</definedName>
    <definedName name="IQ_EBITDA_MEDIAN_EST_REUT">"c3641"</definedName>
    <definedName name="IQ_EBITDA_NUM_EST">"c374"</definedName>
    <definedName name="IQ_EBITDA_NUM_EST_REUT">"c3644"</definedName>
    <definedName name="IQ_EBITDA_OVER_TOTAL_IE">"c1371"</definedName>
    <definedName name="IQ_EBITDA_SBC_ACT_OR_EST">"c4337"</definedName>
    <definedName name="IQ_EBITDA_SBC_EST">"c4336"</definedName>
    <definedName name="IQ_EBITDA_SBC_GUIDANCE">"c4338"</definedName>
    <definedName name="IQ_EBITDA_SBC_HIGH_EST">"c4339"</definedName>
    <definedName name="IQ_EBITDA_SBC_HIGH_GUIDANCE">"c4194"</definedName>
    <definedName name="IQ_EBITDA_SBC_LOW_EST">"c4340"</definedName>
    <definedName name="IQ_EBITDA_SBC_LOW_GUIDANCE">"c4234"</definedName>
    <definedName name="IQ_EBITDA_SBC_MEDIAN_EST">"c4341"</definedName>
    <definedName name="IQ_EBITDA_SBC_NUM_EST">"c4342"</definedName>
    <definedName name="IQ_EBITDA_SBC_STDDEV_EST">"c4343"</definedName>
    <definedName name="IQ_EBITDA_STDDEV_EST">"c375"</definedName>
    <definedName name="IQ_EBITDA_STDDEV_EST_REUT">"c3645"</definedName>
    <definedName name="IQ_EBITDAR">"c2989"</definedName>
    <definedName name="IQ_EBITDAR_EQ_INC">"c3499"</definedName>
    <definedName name="IQ_EBITDAR_EQ_INC_EXCL_SBC">"c3503"</definedName>
    <definedName name="IQ_EBITDAR_EXCL_SBC">"c3083"</definedName>
    <definedName name="IQ_EBT">"c376"</definedName>
    <definedName name="IQ_EBT_BNK">"c377"</definedName>
    <definedName name="IQ_EBT_BR">"c378"</definedName>
    <definedName name="IQ_EBT_EXCL">"c379"</definedName>
    <definedName name="IQ_EBT_EXCL_BNK">"c380"</definedName>
    <definedName name="IQ_EBT_EXCL_BR">"c381"</definedName>
    <definedName name="IQ_EBT_EXCL_FIN">"c382"</definedName>
    <definedName name="IQ_EBT_EXCL_INS">"c383"</definedName>
    <definedName name="IQ_EBT_EXCL_MARGIN">"c1462"</definedName>
    <definedName name="IQ_EBT_EXCL_RE">"c6214"</definedName>
    <definedName name="IQ_EBT_EXCL_REIT">"c384"</definedName>
    <definedName name="IQ_EBT_EXCL_UTI">"c385"</definedName>
    <definedName name="IQ_EBT_FIN">"c386"</definedName>
    <definedName name="IQ_EBT_GAAP_GUIDANCE">"c4345"</definedName>
    <definedName name="IQ_EBT_GAAP_HIGH_GUIDANCE">"c4174"</definedName>
    <definedName name="IQ_EBT_GAAP_LOW_GUIDANCE">"c4214"</definedName>
    <definedName name="IQ_EBT_GUIDANCE">"c4346"</definedName>
    <definedName name="IQ_EBT_GW_GUIDANCE">"c4347"</definedName>
    <definedName name="IQ_EBT_GW_HIGH_GUIDANCE">"c4175"</definedName>
    <definedName name="IQ_EBT_GW_LOW_GUIDANCE">"c4215"</definedName>
    <definedName name="IQ_EBT_HIGH_GUIDANCE">"c4173"</definedName>
    <definedName name="IQ_EBT_INCL_MARGIN">"c387"</definedName>
    <definedName name="IQ_EBT_INS">"c388"</definedName>
    <definedName name="IQ_EBT_LOW_GUIDANCE">"c4213"</definedName>
    <definedName name="IQ_EBT_RE">"c6215"</definedName>
    <definedName name="IQ_EBT_REIT">"c389"</definedName>
    <definedName name="IQ_EBT_SBC_ACT_OR_EST">"c4350"</definedName>
    <definedName name="IQ_EBT_SBC_EST">"c4349"</definedName>
    <definedName name="IQ_EBT_SBC_GUIDANCE">"c4351"</definedName>
    <definedName name="IQ_EBT_SBC_GW_ACT_OR_EST">"c4354"</definedName>
    <definedName name="IQ_EBT_SBC_GW_EST">"c4353"</definedName>
    <definedName name="IQ_EBT_SBC_GW_GUIDANCE">"c4355"</definedName>
    <definedName name="IQ_EBT_SBC_GW_HIGH_EST">"c4356"</definedName>
    <definedName name="IQ_EBT_SBC_GW_HIGH_GUIDANCE">"c4191"</definedName>
    <definedName name="IQ_EBT_SBC_GW_LOW_EST">"c4357"</definedName>
    <definedName name="IQ_EBT_SBC_GW_LOW_GUIDANCE">"c4231"</definedName>
    <definedName name="IQ_EBT_SBC_GW_MEDIAN_EST">"c4358"</definedName>
    <definedName name="IQ_EBT_SBC_GW_NUM_EST">"c4359"</definedName>
    <definedName name="IQ_EBT_SBC_GW_STDDEV_EST">"c4360"</definedName>
    <definedName name="IQ_EBT_SBC_HIGH_EST">"c4362"</definedName>
    <definedName name="IQ_EBT_SBC_HIGH_GUIDANCE">"c4190"</definedName>
    <definedName name="IQ_EBT_SBC_LOW_EST">"c4363"</definedName>
    <definedName name="IQ_EBT_SBC_LOW_GUIDANCE">"c4230"</definedName>
    <definedName name="IQ_EBT_SBC_MEDIAN_EST">"c4364"</definedName>
    <definedName name="IQ_EBT_SBC_NUM_EST">"c4365"</definedName>
    <definedName name="IQ_EBT_SBC_STDDEV_EST">"c4366"</definedName>
    <definedName name="IQ_EBT_UTI">"c390"</definedName>
    <definedName name="IQ_ECO_METRIC_6825_UNUSED_UNUSED_UNUSED">"c6825"</definedName>
    <definedName name="IQ_ECO_METRIC_6839_UNUSED_UNUSED_UNUSED">"c6839"</definedName>
    <definedName name="IQ_ECO_METRIC_6896_UNUSED_UNUSED_UNUSED">"c6896"</definedName>
    <definedName name="IQ_ECO_METRIC_6897_UNUSED_UNUSED_UNUSED">"c6897"</definedName>
    <definedName name="IQ_ECO_METRIC_6988_UNUSED_UNUSED_UNUSED">"c6988"</definedName>
    <definedName name="IQ_ECO_METRIC_7045_UNUSED_UNUSED_UNUSED">"c7045"</definedName>
    <definedName name="IQ_ECO_METRIC_7059_UNUSED_UNUSED_UNUSED">"c7059"</definedName>
    <definedName name="IQ_ECO_METRIC_7116_UNUSED_UNUSED_UNUSED">"c7116"</definedName>
    <definedName name="IQ_ECO_METRIC_7117_UNUSED_UNUSED_UNUSED">"c7117"</definedName>
    <definedName name="IQ_ECO_METRIC_7208_UNUSED_UNUSED_UNUSED">"c7208"</definedName>
    <definedName name="IQ_ECO_METRIC_7265_UNUSED_UNUSED_UNUSED">"c7265"</definedName>
    <definedName name="IQ_ECO_METRIC_7279_UNUSED_UNUSED_UNUSED">"c7279"</definedName>
    <definedName name="IQ_ECO_METRIC_7336_UNUSED_UNUSED_UNUSED">"c7336"</definedName>
    <definedName name="IQ_ECO_METRIC_7337_UNUSED_UNUSED_UNUSED">"c7337"</definedName>
    <definedName name="IQ_ECO_METRIC_7428_UNUSED_UNUSED_UNUSED">"c7428"</definedName>
    <definedName name="IQ_ECO_METRIC_7556_UNUSED_UNUSED_UNUSED">"c7556"</definedName>
    <definedName name="IQ_ECO_METRIC_7557_UNUSED_UNUSED_UNUSED">"c7557"</definedName>
    <definedName name="IQ_ECO_METRIC_7648_UNUSED_UNUSED_UNUSED">"c7648"</definedName>
    <definedName name="IQ_ECO_METRIC_7705_UNUSED_UNUSED_UNUSED">"c7705"</definedName>
    <definedName name="IQ_ECO_METRIC_7719_UNUSED_UNUSED_UNUSED">"c7719"</definedName>
    <definedName name="IQ_ECO_METRIC_7776_UNUSED_UNUSED_UNUSED">"c7776"</definedName>
    <definedName name="IQ_ECO_METRIC_7777_UNUSED_UNUSED_UNUSED">"c7777"</definedName>
    <definedName name="IQ_ECO_METRIC_7868_UNUSED_UNUSED_UNUSED">"c7868"</definedName>
    <definedName name="IQ_ECO_METRIC_7925_UNUSED_UNUSED_UNUSED">"c7925"</definedName>
    <definedName name="IQ_ECO_METRIC_7939_UNUSED_UNUSED_UNUSED">"c7939"</definedName>
    <definedName name="IQ_ECO_METRIC_7996_UNUSED_UNUSED_UNUSED">"c7996"</definedName>
    <definedName name="IQ_ECO_METRIC_7997_UNUSED_UNUSED_UNUSED">"c7997"</definedName>
    <definedName name="IQ_ECO_METRIC_8088_UNUSED_UNUSED_UNUSED">"c8088"</definedName>
    <definedName name="IQ_ECO_METRIC_8145_UNUSED_UNUSED_UNUSED">"c8145"</definedName>
    <definedName name="IQ_ECO_METRIC_8159_UNUSED_UNUSED_UNUSED">"c8159"</definedName>
    <definedName name="IQ_ECO_METRIC_8216_UNUSED_UNUSED_UNUSED">"c8216"</definedName>
    <definedName name="IQ_ECO_METRIC_8217_UNUSED_UNUSED_UNUSED">"c8217"</definedName>
    <definedName name="IQ_ECO_METRIC_8308_UNUSED_UNUSED_UNUSED">"c8308"</definedName>
    <definedName name="IQ_ECO_METRIC_8436_UNUSED_UNUSED_UNUSED">"c8436"</definedName>
    <definedName name="IQ_ECO_METRIC_8437_UNUSED_UNUSED_UNUSED">"c8437"</definedName>
    <definedName name="IQ_ECO_METRIC_8528_UNUSED_UNUSED_UNUSED">"c8528"</definedName>
    <definedName name="IQ_ECS_AUTHORIZED_SHARES">"c5583"</definedName>
    <definedName name="IQ_ECS_AUTHORIZED_SHARES_ABS">"c5597"</definedName>
    <definedName name="IQ_ECS_CONVERT_FACTOR">"c5581"</definedName>
    <definedName name="IQ_ECS_CONVERT_FACTOR_ABS">"c5595"</definedName>
    <definedName name="IQ_ECS_CONVERT_INTO">"c5580"</definedName>
    <definedName name="IQ_ECS_CONVERT_INTO_ABS">"c5594"</definedName>
    <definedName name="IQ_ECS_CONVERT_TYPE">"c5579"</definedName>
    <definedName name="IQ_ECS_CONVERT_TYPE_ABS">"c5593"</definedName>
    <definedName name="IQ_ECS_INACTIVE_DATE">"c5576"</definedName>
    <definedName name="IQ_ECS_INACTIVE_DATE_ABS">"c5590"</definedName>
    <definedName name="IQ_ECS_NAME">"c5571"</definedName>
    <definedName name="IQ_ECS_NAME_ABS">"c5585"</definedName>
    <definedName name="IQ_ECS_NUM_SHAREHOLDERS">"c5584"</definedName>
    <definedName name="IQ_ECS_NUM_SHAREHOLDERS_ABS">"c5598"</definedName>
    <definedName name="IQ_ECS_PAR_VALUE">"c5577"</definedName>
    <definedName name="IQ_ECS_PAR_VALUE_ABS">"c5591"</definedName>
    <definedName name="IQ_ECS_PAR_VALUE_CURRENCY">"c5578"</definedName>
    <definedName name="IQ_ECS_PAR_VALUE_CURRENCY_ABS">"c5592"</definedName>
    <definedName name="IQ_ECS_SHARES_OUT_BS_DATE">"c5572"</definedName>
    <definedName name="IQ_ECS_SHARES_OUT_BS_DATE_ABS">"c5586"</definedName>
    <definedName name="IQ_ECS_SHARES_OUT_FILING_DATE">"c5573"</definedName>
    <definedName name="IQ_ECS_SHARES_OUT_FILING_DATE_ABS">"c5587"</definedName>
    <definedName name="IQ_ECS_START_DATE">"c5575"</definedName>
    <definedName name="IQ_ECS_START_DATE_ABS">"c5589"</definedName>
    <definedName name="IQ_ECS_TYPE">"c5574"</definedName>
    <definedName name="IQ_ECS_TYPE_ABS">"c5588"</definedName>
    <definedName name="IQ_ECS_VOTING">"c5582"</definedName>
    <definedName name="IQ_ECS_VOTING_ABS">"c5596"</definedName>
    <definedName name="IQ_EFFECT_SPECIAL_CHARGE">"c1595"</definedName>
    <definedName name="IQ_EFFECT_TAX_RATE">"c1899"</definedName>
    <definedName name="IQ_EFFICIENCY_RATIO">"c391"</definedName>
    <definedName name="IQ_EFFICIENCY_RATIO_FDIC">"c6736"</definedName>
    <definedName name="IQ_EMPLOYEES">"c392"</definedName>
    <definedName name="IQ_ENTERPRISE_VALUE">"c1348"</definedName>
    <definedName name="IQ_EPS">"IQ_EPS"</definedName>
    <definedName name="IQ_EPS_10YR_ANN_CAGR">"c6085"</definedName>
    <definedName name="IQ_EPS_10YR_ANN_GROWTH">"c393"</definedName>
    <definedName name="IQ_EPS_1YR_ANN_GROWTH">"c394"</definedName>
    <definedName name="IQ_EPS_2YR_ANN_CAGR">"c6086"</definedName>
    <definedName name="IQ_EPS_2YR_ANN_GROWTH">"c395"</definedName>
    <definedName name="IQ_EPS_3YR_ANN_CAGR">"c6087"</definedName>
    <definedName name="IQ_EPS_3YR_ANN_GROWTH">"c396"</definedName>
    <definedName name="IQ_EPS_5YR_ANN_CAGR">"c6088"</definedName>
    <definedName name="IQ_EPS_5YR_ANN_GROWTH">"c397"</definedName>
    <definedName name="IQ_EPS_7YR_ANN_CAGR">"c6089"</definedName>
    <definedName name="IQ_EPS_7YR_ANN_GROWTH">"c398"</definedName>
    <definedName name="IQ_EPS_ACT_OR_EST">"c2213"</definedName>
    <definedName name="IQ_EPS_ACT_OR_EST_REUT">"c5460"</definedName>
    <definedName name="IQ_EPS_EST">"c399"</definedName>
    <definedName name="IQ_EPS_EST_BOTTOM_UP">"c5489"</definedName>
    <definedName name="IQ_EPS_EST_BOTTOM_UP_REUT">"c5497"</definedName>
    <definedName name="IQ_EPS_EST_REUT">"c5453"</definedName>
    <definedName name="IQ_EPS_EXCL_GUIDANCE">"c4368"</definedName>
    <definedName name="IQ_EPS_EXCL_HIGH_GUIDANCE">"c4369"</definedName>
    <definedName name="IQ_EPS_EXCL_LOW_GUIDANCE">"c4204"</definedName>
    <definedName name="IQ_EPS_GAAP_GUIDANCE">"c4370"</definedName>
    <definedName name="IQ_EPS_GAAP_HIGH_GUIDANCE">"c4371"</definedName>
    <definedName name="IQ_EPS_GAAP_LOW_GUIDANCE">"c4205"</definedName>
    <definedName name="IQ_EPS_GW_ACT_OR_EST">"c2223"</definedName>
    <definedName name="IQ_EPS_GW_ACT_OR_EST_REUT">"c5469"</definedName>
    <definedName name="IQ_EPS_GW_EST">"c1737"</definedName>
    <definedName name="IQ_EPS_GW_EST_BOTTOM_UP">"c5491"</definedName>
    <definedName name="IQ_EPS_GW_EST_BOTTOM_UP_REUT">"c5499"</definedName>
    <definedName name="IQ_EPS_GW_EST_REUT">"c5389"</definedName>
    <definedName name="IQ_EPS_GW_GUIDANCE">"c4372"</definedName>
    <definedName name="IQ_EPS_GW_HIGH_EST">"c1739"</definedName>
    <definedName name="IQ_EPS_GW_HIGH_EST_REUT">"c5391"</definedName>
    <definedName name="IQ_EPS_GW_HIGH_GUIDANCE">"c4373"</definedName>
    <definedName name="IQ_EPS_GW_LOW_EST">"c1740"</definedName>
    <definedName name="IQ_EPS_GW_LOW_EST_REUT">"c5392"</definedName>
    <definedName name="IQ_EPS_GW_LOW_GUIDANCE">"c4206"</definedName>
    <definedName name="IQ_EPS_GW_MEDIAN_EST">"c1738"</definedName>
    <definedName name="IQ_EPS_GW_MEDIAN_EST_REUT">"c5390"</definedName>
    <definedName name="IQ_EPS_GW_NUM_EST">"c1741"</definedName>
    <definedName name="IQ_EPS_GW_NUM_EST_REUT">"c5393"</definedName>
    <definedName name="IQ_EPS_GW_STDDEV_EST">"c1742"</definedName>
    <definedName name="IQ_EPS_GW_STDDEV_EST_REUT">"c5394"</definedName>
    <definedName name="IQ_EPS_HIGH_EST">"c400"</definedName>
    <definedName name="IQ_EPS_HIGH_EST_REUT">"c5454"</definedName>
    <definedName name="IQ_EPS_LOW_EST">"c401"</definedName>
    <definedName name="IQ_EPS_LOW_EST_REUT">"c5455"</definedName>
    <definedName name="IQ_EPS_MEDIAN_EST">"c1661"</definedName>
    <definedName name="IQ_EPS_MEDIAN_EST_REUT">"c5456"</definedName>
    <definedName name="IQ_EPS_NORM">"c1902"</definedName>
    <definedName name="IQ_EPS_NORM_EST">"c2226"</definedName>
    <definedName name="IQ_EPS_NORM_EST_BOTTOM_UP">"c5490"</definedName>
    <definedName name="IQ_EPS_NORM_EST_BOTTOM_UP_REUT">"c5498"</definedName>
    <definedName name="IQ_EPS_NORM_EST_REUT">"c5326"</definedName>
    <definedName name="IQ_EPS_NORM_HIGH_EST">"c2228"</definedName>
    <definedName name="IQ_EPS_NORM_HIGH_EST_REUT">"c5328"</definedName>
    <definedName name="IQ_EPS_NORM_LOW_EST">"c2229"</definedName>
    <definedName name="IQ_EPS_NORM_LOW_EST_REUT">"c5329"</definedName>
    <definedName name="IQ_EPS_NORM_MEDIAN_EST">"c2227"</definedName>
    <definedName name="IQ_EPS_NORM_MEDIAN_EST_REUT">"c5327"</definedName>
    <definedName name="IQ_EPS_NORM_NUM_EST">"c2230"</definedName>
    <definedName name="IQ_EPS_NORM_NUM_EST_REUT">"c5330"</definedName>
    <definedName name="IQ_EPS_NORM_STDDEV_EST">"c2231"</definedName>
    <definedName name="IQ_EPS_NORM_STDDEV_EST_REUT">"c5331"</definedName>
    <definedName name="IQ_EPS_NUM_EST">"c402"</definedName>
    <definedName name="IQ_EPS_NUM_EST_REUT">"c5451"</definedName>
    <definedName name="IQ_EPS_REPORT_ACT_OR_EST">"c2224"</definedName>
    <definedName name="IQ_EPS_REPORT_ACT_OR_EST_REUT">"c5470"</definedName>
    <definedName name="IQ_EPS_REPORTED_EST">"c1744"</definedName>
    <definedName name="IQ_EPS_REPORTED_EST_BOTTOM_UP">"c5492"</definedName>
    <definedName name="IQ_EPS_REPORTED_EST_BOTTOM_UP_REUT">"c5500"</definedName>
    <definedName name="IQ_EPS_REPORTED_EST_REUT">"c5396"</definedName>
    <definedName name="IQ_EPS_REPORTED_HIGH_EST">"c1746"</definedName>
    <definedName name="IQ_EPS_REPORTED_HIGH_EST_REUT">"c5398"</definedName>
    <definedName name="IQ_EPS_REPORTED_LOW_EST">"c1747"</definedName>
    <definedName name="IQ_EPS_REPORTED_LOW_EST_REUT">"c5399"</definedName>
    <definedName name="IQ_EPS_REPORTED_MEDIAN_EST">"c1745"</definedName>
    <definedName name="IQ_EPS_REPORTED_MEDIAN_EST_REUT">"c5397"</definedName>
    <definedName name="IQ_EPS_REPORTED_NUM_EST">"c1748"</definedName>
    <definedName name="IQ_EPS_REPORTED_NUM_EST_REUT">"c5400"</definedName>
    <definedName name="IQ_EPS_REPORTED_STDDEV_EST">"c1749"</definedName>
    <definedName name="IQ_EPS_REPORTED_STDDEV_EST_REUT">"c5401"</definedName>
    <definedName name="IQ_EPS_SBC_ACT_OR_EST">"c4376"</definedName>
    <definedName name="IQ_EPS_SBC_EST">"c4375"</definedName>
    <definedName name="IQ_EPS_SBC_GUIDANCE">"c4377"</definedName>
    <definedName name="IQ_EPS_SBC_GW_ACT_OR_EST">"c4380"</definedName>
    <definedName name="IQ_EPS_SBC_GW_EST">"c4379"</definedName>
    <definedName name="IQ_EPS_SBC_GW_GUIDANCE">"c4381"</definedName>
    <definedName name="IQ_EPS_SBC_GW_HIGH_EST">"c4382"</definedName>
    <definedName name="IQ_EPS_SBC_GW_HIGH_GUIDANCE">"c4189"</definedName>
    <definedName name="IQ_EPS_SBC_GW_LOW_EST">"c4383"</definedName>
    <definedName name="IQ_EPS_SBC_GW_LOW_GUIDANCE">"c4229"</definedName>
    <definedName name="IQ_EPS_SBC_GW_MEDIAN_EST">"c4384"</definedName>
    <definedName name="IQ_EPS_SBC_GW_NUM_EST">"c4385"</definedName>
    <definedName name="IQ_EPS_SBC_GW_STDDEV_EST">"c4386"</definedName>
    <definedName name="IQ_EPS_SBC_HIGH_EST">"c4388"</definedName>
    <definedName name="IQ_EPS_SBC_HIGH_GUIDANCE">"c4188"</definedName>
    <definedName name="IQ_EPS_SBC_LOW_EST">"c4389"</definedName>
    <definedName name="IQ_EPS_SBC_LOW_GUIDANCE">"c4228"</definedName>
    <definedName name="IQ_EPS_SBC_MEDIAN_EST">"c4390"</definedName>
    <definedName name="IQ_EPS_SBC_NUM_EST">"c4391"</definedName>
    <definedName name="IQ_EPS_SBC_STDDEV_EST">"c4392"</definedName>
    <definedName name="IQ_EPS_STDDEV_EST">"c403"</definedName>
    <definedName name="IQ_EPS_STDDEV_EST_REUT">"c5452"</definedName>
    <definedName name="IQ_EQUITY_AFFIL">"c1451"</definedName>
    <definedName name="IQ_EQUITY_CAPITAL_ASSETS_FDIC">"c6744"</definedName>
    <definedName name="IQ_EQUITY_FDIC">"c6353"</definedName>
    <definedName name="IQ_EQUITY_METHOD">"c404"</definedName>
    <definedName name="IQ_EQUITY_SECURITIES_FDIC">"c6304"</definedName>
    <definedName name="IQ_EQUITY_SECURITY_EXPOSURES_FDIC">"c6664"</definedName>
    <definedName name="IQ_EQV_OVER_BV">"c1596"</definedName>
    <definedName name="IQ_EQV_OVER_LTM_PRETAX_INC">"c1390"</definedName>
    <definedName name="IQ_ESOP_DEBT">"c1597"</definedName>
    <definedName name="IQ_EST_ACT_BV">"c5630"</definedName>
    <definedName name="IQ_EST_ACT_BV_SHARE">"c3549"</definedName>
    <definedName name="IQ_EST_ACT_BV_SHARE_REUT">"c5445"</definedName>
    <definedName name="IQ_EST_ACT_CAPEX">"c3546"</definedName>
    <definedName name="IQ_EST_ACT_CAPEX_REUT">"c3975"</definedName>
    <definedName name="IQ_EST_ACT_CASH_EPS">"c5637"</definedName>
    <definedName name="IQ_EST_ACT_CASH_FLOW">"c4394"</definedName>
    <definedName name="IQ_EST_ACT_CASH_OPER">"c4395"</definedName>
    <definedName name="IQ_EST_ACT_CFPS">"c1673"</definedName>
    <definedName name="IQ_EST_ACT_CFPS_REUT">"c3850"</definedName>
    <definedName name="IQ_EST_ACT_DISTRIBUTABLE_CASH">"c4396"</definedName>
    <definedName name="IQ_EST_ACT_DISTRIBUTABLE_CASH_SHARE">"c4397"</definedName>
    <definedName name="IQ_EST_ACT_DPS">"c1680"</definedName>
    <definedName name="IQ_EST_ACT_DPS_REUT">"c3857"</definedName>
    <definedName name="IQ_EST_ACT_EBIT">"c1687"</definedName>
    <definedName name="IQ_EST_ACT_EBIT_GW">"c4398"</definedName>
    <definedName name="IQ_EST_ACT_EBIT_REUT">"c5339"</definedName>
    <definedName name="IQ_EST_ACT_EBIT_SBC">"c4399"</definedName>
    <definedName name="IQ_EST_ACT_EBIT_SBC_GW">"c4400"</definedName>
    <definedName name="IQ_EST_ACT_EBITDA">"c1664"</definedName>
    <definedName name="IQ_EST_ACT_EBITDA_REUT">"c3836"</definedName>
    <definedName name="IQ_EST_ACT_EBITDA_SBC">"c4401"</definedName>
    <definedName name="IQ_EST_ACT_EBT_SBC">"c4402"</definedName>
    <definedName name="IQ_EST_ACT_EBT_SBC_GW">"c4403"</definedName>
    <definedName name="IQ_EST_ACT_EPS">"c1648"</definedName>
    <definedName name="IQ_EST_ACT_EPS_GW">"c1743"</definedName>
    <definedName name="IQ_EST_ACT_EPS_GW_REUT">"c5395"</definedName>
    <definedName name="IQ_EST_ACT_EPS_NORM">"c2232"</definedName>
    <definedName name="IQ_EST_ACT_EPS_NORM_REUT">"c5332"</definedName>
    <definedName name="IQ_EST_ACT_EPS_REPORTED">"c1750"</definedName>
    <definedName name="IQ_EST_ACT_EPS_REPORTED_REUT">"c5402"</definedName>
    <definedName name="IQ_EST_ACT_EPS_REUT">"c5457"</definedName>
    <definedName name="IQ_EST_ACT_EPS_SBC">"c4404"</definedName>
    <definedName name="IQ_EST_ACT_EPS_SBC_GW">"c4405"</definedName>
    <definedName name="IQ_EST_ACT_FFO">"c1666"</definedName>
    <definedName name="IQ_EST_ACT_FFO_ADJ">"c4406"</definedName>
    <definedName name="IQ_EST_ACT_FFO_REUT">"c3843"</definedName>
    <definedName name="IQ_EST_ACT_FFO_SHARE">"c4407"</definedName>
    <definedName name="IQ_EST_ACT_GROSS_MARGIN">"c5553"</definedName>
    <definedName name="IQ_EST_ACT_MAINT_CAPEX">"c4408"</definedName>
    <definedName name="IQ_EST_ACT_NAV">"c1757"</definedName>
    <definedName name="IQ_EST_ACT_NAV_SHARE">"c5608"</definedName>
    <definedName name="IQ_EST_ACT_NAV_SHARE_REUT">"c5616"</definedName>
    <definedName name="IQ_EST_ACT_NET_DEBT">"c3545"</definedName>
    <definedName name="IQ_EST_ACT_NET_DEBT_REUT">"c5446"</definedName>
    <definedName name="IQ_EST_ACT_NI">"c1722"</definedName>
    <definedName name="IQ_EST_ACT_NI_GW">"c1729"</definedName>
    <definedName name="IQ_EST_ACT_NI_GW_REUT">"c5381"</definedName>
    <definedName name="IQ_EST_ACT_NI_REPORTED">"c1736"</definedName>
    <definedName name="IQ_EST_ACT_NI_REPORTED_REUT">"c5388"</definedName>
    <definedName name="IQ_EST_ACT_NI_REUT">"c5374"</definedName>
    <definedName name="IQ_EST_ACT_NI_SBC">"c4409"</definedName>
    <definedName name="IQ_EST_ACT_NI_SBC_GW">"c4410"</definedName>
    <definedName name="IQ_EST_ACT_OPER_INC">"c1694"</definedName>
    <definedName name="IQ_EST_ACT_OPER_INC_REUT">"c5346"</definedName>
    <definedName name="IQ_EST_ACT_PRETAX_GW_INC">"c1708"</definedName>
    <definedName name="IQ_EST_ACT_PRETAX_GW_INC_REUT">"c5360"</definedName>
    <definedName name="IQ_EST_ACT_PRETAX_INC">"c1701"</definedName>
    <definedName name="IQ_EST_ACT_PRETAX_INC_REUT">"c5353"</definedName>
    <definedName name="IQ_EST_ACT_PRETAX_REPORT_INC">"c1715"</definedName>
    <definedName name="IQ_EST_ACT_PRETAX_REPORT_INC_REUT">"c5367"</definedName>
    <definedName name="IQ_EST_ACT_RECURRING_PROFIT">"c4411"</definedName>
    <definedName name="IQ_EST_ACT_RECURRING_PROFIT_SHARE">"c4412"</definedName>
    <definedName name="IQ_EST_ACT_RETURN_ASSETS">"c3547"</definedName>
    <definedName name="IQ_EST_ACT_RETURN_ASSETS_REUT">"c3996"</definedName>
    <definedName name="IQ_EST_ACT_RETURN_EQUITY">"c3548"</definedName>
    <definedName name="IQ_EST_ACT_RETURN_EQUITY_REUT">"c3989"</definedName>
    <definedName name="IQ_EST_ACT_REV">"c2113"</definedName>
    <definedName name="IQ_EST_ACT_REV_REUT">"c3835"</definedName>
    <definedName name="IQ_EST_BV_SHARE_DIFF">"c4147"</definedName>
    <definedName name="IQ_EST_BV_SHARE_SURPRISE_PERCENT">"c4148"</definedName>
    <definedName name="IQ_EST_CAPEX_DIFF">"c4149"</definedName>
    <definedName name="IQ_EST_CAPEX_GROWTH_1YR">"c3588"</definedName>
    <definedName name="IQ_EST_CAPEX_GROWTH_1YR_REUT">"c5447"</definedName>
    <definedName name="IQ_EST_CAPEX_GROWTH_2YR">"c3589"</definedName>
    <definedName name="IQ_EST_CAPEX_GROWTH_2YR_REUT">"c5448"</definedName>
    <definedName name="IQ_EST_CAPEX_GROWTH_Q_1YR">"c3590"</definedName>
    <definedName name="IQ_EST_CAPEX_GROWTH_Q_1YR_REUT">"c5449"</definedName>
    <definedName name="IQ_EST_CAPEX_SEQ_GROWTH_Q">"c3591"</definedName>
    <definedName name="IQ_EST_CAPEX_SEQ_GROWTH_Q_REUT">"c5450"</definedName>
    <definedName name="IQ_EST_CAPEX_SURPRISE_PERCENT">"c4151"</definedName>
    <definedName name="IQ_EST_CASH_FLOW_DIFF">"c4152"</definedName>
    <definedName name="IQ_EST_CASH_FLOW_SURPRISE_PERCENT">"c4161"</definedName>
    <definedName name="IQ_EST_CASH_OPER_DIFF">"c4162"</definedName>
    <definedName name="IQ_EST_CASH_OPER_SURPRISE_PERCENT">"c4248"</definedName>
    <definedName name="IQ_EST_CFPS_DIFF">"c1871"</definedName>
    <definedName name="IQ_EST_CFPS_DIFF_REUT">"c3892"</definedName>
    <definedName name="IQ_EST_CFPS_GROWTH_1YR">"c1774"</definedName>
    <definedName name="IQ_EST_CFPS_GROWTH_1YR_REUT">"c3878"</definedName>
    <definedName name="IQ_EST_CFPS_GROWTH_2YR">"c1775"</definedName>
    <definedName name="IQ_EST_CFPS_GROWTH_2YR_REUT">"c3879"</definedName>
    <definedName name="IQ_EST_CFPS_GROWTH_Q_1YR">"c1776"</definedName>
    <definedName name="IQ_EST_CFPS_GROWTH_Q_1YR_REUT">"c3880"</definedName>
    <definedName name="IQ_EST_CFPS_SEQ_GROWTH_Q">"c1777"</definedName>
    <definedName name="IQ_EST_CFPS_SEQ_GROWTH_Q_REUT">"c3881"</definedName>
    <definedName name="IQ_EST_CFPS_SURPRISE_PERCENT">"c1872"</definedName>
    <definedName name="IQ_EST_CFPS_SURPRISE_PERCENT_REUT">"c3893"</definedName>
    <definedName name="IQ_EST_CURRENCY">"c2140"</definedName>
    <definedName name="IQ_EST_CURRENCY_REUT">"c5437"</definedName>
    <definedName name="IQ_EST_DATE">"c1634"</definedName>
    <definedName name="IQ_EST_DATE_REUT">"c5438"</definedName>
    <definedName name="IQ_EST_DISTRIBUTABLE_CASH_DIFF">"c4276"</definedName>
    <definedName name="IQ_EST_DISTRIBUTABLE_CASH_GROWTH_1YR">"c4413"</definedName>
    <definedName name="IQ_EST_DISTRIBUTABLE_CASH_GROWTH_2YR">"c4414"</definedName>
    <definedName name="IQ_EST_DISTRIBUTABLE_CASH_GROWTH_Q_1YR">"c4415"</definedName>
    <definedName name="IQ_EST_DISTRIBUTABLE_CASH_SEQ_GROWTH_Q">"c4416"</definedName>
    <definedName name="IQ_EST_DISTRIBUTABLE_CASH_SHARE_DIFF">"c4284"</definedName>
    <definedName name="IQ_EST_DISTRIBUTABLE_CASH_SHARE_GROWTH_1YR">"c4417"</definedName>
    <definedName name="IQ_EST_DISTRIBUTABLE_CASH_SHARE_GROWTH_2YR">"c4418"</definedName>
    <definedName name="IQ_EST_DISTRIBUTABLE_CASH_SHARE_GROWTH_Q_1YR">"c4419"</definedName>
    <definedName name="IQ_EST_DISTRIBUTABLE_CASH_SHARE_SEQ_GROWTH_Q">"c4420"</definedName>
    <definedName name="IQ_EST_DISTRIBUTABLE_CASH_SHARE_SURPRISE_PERCENT">"c4293"</definedName>
    <definedName name="IQ_EST_DISTRIBUTABLE_CASH_SURPRISE_PERCENT">"c4295"</definedName>
    <definedName name="IQ_EST_DPS_DIFF">"c1873"</definedName>
    <definedName name="IQ_EST_DPS_DIFF_REUT">"c3894"</definedName>
    <definedName name="IQ_EST_DPS_GROWTH_1YR">"c1778"</definedName>
    <definedName name="IQ_EST_DPS_GROWTH_1YR_REUT">"c3882"</definedName>
    <definedName name="IQ_EST_DPS_GROWTH_2YR">"c1779"</definedName>
    <definedName name="IQ_EST_DPS_GROWTH_2YR_REUT">"c3883"</definedName>
    <definedName name="IQ_EST_DPS_GROWTH_Q_1YR">"c1780"</definedName>
    <definedName name="IQ_EST_DPS_GROWTH_Q_1YR_REUT">"c3884"</definedName>
    <definedName name="IQ_EST_DPS_SEQ_GROWTH_Q">"c1781"</definedName>
    <definedName name="IQ_EST_DPS_SEQ_GROWTH_Q_REUT">"c3885"</definedName>
    <definedName name="IQ_EST_DPS_SURPRISE_PERCENT">"c1874"</definedName>
    <definedName name="IQ_EST_DPS_SURPRISE_PERCENT_REUT">"c3895"</definedName>
    <definedName name="IQ_EST_EBIT_DIFF">"c1875"</definedName>
    <definedName name="IQ_EST_EBIT_DIFF_REUT">"c5413"</definedName>
    <definedName name="IQ_EST_EBIT_GW_DIFF">"c4304"</definedName>
    <definedName name="IQ_EST_EBIT_GW_SURPRISE_PERCENT">"c4313"</definedName>
    <definedName name="IQ_EST_EBIT_SBC_DIFF">"c4314"</definedName>
    <definedName name="IQ_EST_EBIT_SBC_GW_DIFF">"c4318"</definedName>
    <definedName name="IQ_EST_EBIT_SBC_GW_SURPRISE_PERCENT">"c4327"</definedName>
    <definedName name="IQ_EST_EBIT_SBC_SURPRISE_PERCENT">"c4333"</definedName>
    <definedName name="IQ_EST_EBIT_SURPRISE_PERCENT">"c1876"</definedName>
    <definedName name="IQ_EST_EBIT_SURPRISE_PERCENT_REUT">"c5414"</definedName>
    <definedName name="IQ_EST_EBITDA_DIFF">"c1867"</definedName>
    <definedName name="IQ_EST_EBITDA_DIFF_REUT">"c3888"</definedName>
    <definedName name="IQ_EST_EBITDA_GROWTH_1YR">"c1766"</definedName>
    <definedName name="IQ_EST_EBITDA_GROWTH_1YR_REUT">"c3864"</definedName>
    <definedName name="IQ_EST_EBITDA_GROWTH_2YR">"c1767"</definedName>
    <definedName name="IQ_EST_EBITDA_GROWTH_2YR_REUT">"c3865"</definedName>
    <definedName name="IQ_EST_EBITDA_GROWTH_Q_1YR">"c1768"</definedName>
    <definedName name="IQ_EST_EBITDA_GROWTH_Q_1YR_REUT">"c3866"</definedName>
    <definedName name="IQ_EST_EBITDA_SBC_DIFF">"c4335"</definedName>
    <definedName name="IQ_EST_EBITDA_SBC_SURPRISE_PERCENT">"c4344"</definedName>
    <definedName name="IQ_EST_EBITDA_SEQ_GROWTH_Q">"c1769"</definedName>
    <definedName name="IQ_EST_EBITDA_SEQ_GROWTH_Q_REUT">"c3867"</definedName>
    <definedName name="IQ_EST_EBITDA_SURPRISE_PERCENT">"c1868"</definedName>
    <definedName name="IQ_EST_EBITDA_SURPRISE_PERCENT_REUT">"c3889"</definedName>
    <definedName name="IQ_EST_EBT_SBC_DIFF">"c4348"</definedName>
    <definedName name="IQ_EST_EBT_SBC_GW_DIFF">"c4352"</definedName>
    <definedName name="IQ_EST_EBT_SBC_GW_SURPRISE_PERCENT">"c4361"</definedName>
    <definedName name="IQ_EST_EBT_SBC_SURPRISE_PERCENT">"c4367"</definedName>
    <definedName name="IQ_EST_EPS_DIFF">"c1864"</definedName>
    <definedName name="IQ_EST_EPS_DIFF_REUT">"c5458"</definedName>
    <definedName name="IQ_EST_EPS_GROWTH_1YR">"c1636"</definedName>
    <definedName name="IQ_EST_EPS_GROWTH_1YR_REUT">"c3646"</definedName>
    <definedName name="IQ_EST_EPS_GROWTH_2YR">"c1637"</definedName>
    <definedName name="IQ_EST_EPS_GROWTH_2YR_REUT">"c3858"</definedName>
    <definedName name="IQ_EST_EPS_GROWTH_5YR">"c1655"</definedName>
    <definedName name="IQ_EST_EPS_GROWTH_5YR_BOTTOM_UP">"c5487"</definedName>
    <definedName name="IQ_EST_EPS_GROWTH_5YR_BOTTOM_UP_REUT">"c5495"</definedName>
    <definedName name="IQ_EST_EPS_GROWTH_5YR_HIGH">"c1657"</definedName>
    <definedName name="IQ_EST_EPS_GROWTH_5YR_HIGH_REUT">"c5322"</definedName>
    <definedName name="IQ_EST_EPS_GROWTH_5YR_LOW">"c1658"</definedName>
    <definedName name="IQ_EST_EPS_GROWTH_5YR_LOW_REUT">"c5323"</definedName>
    <definedName name="IQ_EST_EPS_GROWTH_5YR_MEDIAN">"c1656"</definedName>
    <definedName name="IQ_EST_EPS_GROWTH_5YR_MEDIAN_REUT">"c5321"</definedName>
    <definedName name="IQ_EST_EPS_GROWTH_5YR_NUM">"c1659"</definedName>
    <definedName name="IQ_EST_EPS_GROWTH_5YR_NUM_REUT">"c5324"</definedName>
    <definedName name="IQ_EST_EPS_GROWTH_5YR_REUT">"c3633"</definedName>
    <definedName name="IQ_EST_EPS_GROWTH_5YR_STDDEV">"c1660"</definedName>
    <definedName name="IQ_EST_EPS_GROWTH_5YR_STDDEV_REUT">"c5325"</definedName>
    <definedName name="IQ_EST_EPS_GROWTH_Q_1YR">"c1641"</definedName>
    <definedName name="IQ_EST_EPS_GROWTH_Q_1YR_REUT">"c5410"</definedName>
    <definedName name="IQ_EST_EPS_GW_DIFF">"c1891"</definedName>
    <definedName name="IQ_EST_EPS_GW_DIFF_REUT">"c5429"</definedName>
    <definedName name="IQ_EST_EPS_GW_SURPRISE_PERCENT">"c1892"</definedName>
    <definedName name="IQ_EST_EPS_GW_SURPRISE_PERCENT_REUT">"c5430"</definedName>
    <definedName name="IQ_EST_EPS_NORM_DIFF">"c2247"</definedName>
    <definedName name="IQ_EST_EPS_NORM_DIFF_REUT">"c5411"</definedName>
    <definedName name="IQ_EST_EPS_NORM_SURPRISE_PERCENT">"c2248"</definedName>
    <definedName name="IQ_EST_EPS_NORM_SURPRISE_PERCENT_REUT">"c5412"</definedName>
    <definedName name="IQ_EST_EPS_REPORT_DIFF">"c1893"</definedName>
    <definedName name="IQ_EST_EPS_REPORT_DIFF_REUT">"c5431"</definedName>
    <definedName name="IQ_EST_EPS_REPORT_SURPRISE_PERCENT">"c1894"</definedName>
    <definedName name="IQ_EST_EPS_REPORT_SURPRISE_PERCENT_REUT">"c5432"</definedName>
    <definedName name="IQ_EST_EPS_SBC_DIFF">"c4374"</definedName>
    <definedName name="IQ_EST_EPS_SBC_GW_DIFF">"c4378"</definedName>
    <definedName name="IQ_EST_EPS_SBC_GW_SURPRISE_PERCENT">"c4387"</definedName>
    <definedName name="IQ_EST_EPS_SBC_SURPRISE_PERCENT">"c4393"</definedName>
    <definedName name="IQ_EST_EPS_SEQ_GROWTH_Q">"c1764"</definedName>
    <definedName name="IQ_EST_EPS_SEQ_GROWTH_Q_REUT">"c3859"</definedName>
    <definedName name="IQ_EST_EPS_SURPRISE_PERCENT">"c1635"</definedName>
    <definedName name="IQ_EST_EPS_SURPRISE_PERCENT_REUT">"c5459"</definedName>
    <definedName name="IQ_EST_FFO_ADJ_DIFF">"c4433"</definedName>
    <definedName name="IQ_EST_FFO_ADJ_GROWTH_1YR">"c4421"</definedName>
    <definedName name="IQ_EST_FFO_ADJ_GROWTH_2YR">"c4422"</definedName>
    <definedName name="IQ_EST_FFO_ADJ_GROWTH_Q_1YR">"c4423"</definedName>
    <definedName name="IQ_EST_FFO_ADJ_SEQ_GROWTH_Q">"c4424"</definedName>
    <definedName name="IQ_EST_FFO_ADJ_SURPRISE_PERCENT">"c4442"</definedName>
    <definedName name="IQ_EST_FFO_DIFF">"c1869"</definedName>
    <definedName name="IQ_EST_FFO_DIFF_REUT">"c3890"</definedName>
    <definedName name="IQ_EST_FFO_GROWTH_1YR">"c1770"</definedName>
    <definedName name="IQ_EST_FFO_GROWTH_1YR_REUT">"c3874"</definedName>
    <definedName name="IQ_EST_FFO_GROWTH_2YR">"c1771"</definedName>
    <definedName name="IQ_EST_FFO_GROWTH_2YR_REUT">"c3875"</definedName>
    <definedName name="IQ_EST_FFO_GROWTH_Q_1YR">"c1772"</definedName>
    <definedName name="IQ_EST_FFO_GROWTH_Q_1YR_REUT">"c3876"</definedName>
    <definedName name="IQ_EST_FFO_SEQ_GROWTH_Q">"c1773"</definedName>
    <definedName name="IQ_EST_FFO_SEQ_GROWTH_Q_REUT">"c3877"</definedName>
    <definedName name="IQ_EST_FFO_SHARE_DIFF">"c4444"</definedName>
    <definedName name="IQ_EST_FFO_SHARE_GROWTH_1YR">"c4425"</definedName>
    <definedName name="IQ_EST_FFO_SHARE_GROWTH_2YR">"c4426"</definedName>
    <definedName name="IQ_EST_FFO_SHARE_GROWTH_Q_1YR">"c4427"</definedName>
    <definedName name="IQ_EST_FFO_SHARE_SEQ_GROWTH_Q">"c4428"</definedName>
    <definedName name="IQ_EST_FFO_SHARE_SURPRISE_PERCENT">"c4453"</definedName>
    <definedName name="IQ_EST_FFO_SURPRISE_PERCENT">"c1870"</definedName>
    <definedName name="IQ_EST_FFO_SURPRISE_PERCENT_REUT">"c3891"</definedName>
    <definedName name="IQ_EST_FOOTNOTE">"c4540"</definedName>
    <definedName name="IQ_EST_FOOTNOTE_REUT">"c5478"</definedName>
    <definedName name="IQ_EST_MAINT_CAPEX_DIFF">"c4456"</definedName>
    <definedName name="IQ_EST_MAINT_CAPEX_GROWTH_1YR">"c4429"</definedName>
    <definedName name="IQ_EST_MAINT_CAPEX_GROWTH_2YR">"c4430"</definedName>
    <definedName name="IQ_EST_MAINT_CAPEX_GROWTH_Q_1YR">"c4431"</definedName>
    <definedName name="IQ_EST_MAINT_CAPEX_SEQ_GROWTH_Q">"c4432"</definedName>
    <definedName name="IQ_EST_MAINT_CAPEX_SURPRISE_PERCENT">"c4465"</definedName>
    <definedName name="IQ_EST_NAV_DIFF">"c1895"</definedName>
    <definedName name="IQ_EST_NAV_SHARE_SURPRISE_PERCENT">"c1896"</definedName>
    <definedName name="IQ_EST_NAV_SURPRISE_PERCENT">"c1896"</definedName>
    <definedName name="IQ_EST_NET_DEBT_DIFF">"c4466"</definedName>
    <definedName name="IQ_EST_NET_DEBT_SURPRISE_PERCENT">"c4468"</definedName>
    <definedName name="IQ_EST_NI_DIFF">"c1885"</definedName>
    <definedName name="IQ_EST_NI_DIFF_REUT">"c5423"</definedName>
    <definedName name="IQ_EST_NI_GW_DIFF">"c1887"</definedName>
    <definedName name="IQ_EST_NI_GW_DIFF_REUT">"c5425"</definedName>
    <definedName name="IQ_EST_NI_GW_SURPRISE_PERCENT">"c1888"</definedName>
    <definedName name="IQ_EST_NI_GW_SURPRISE_PERCENT_REUT">"c5426"</definedName>
    <definedName name="IQ_EST_NI_REPORT_DIFF">"c1889"</definedName>
    <definedName name="IQ_EST_NI_REPORT_DIFF_REUT">"c5427"</definedName>
    <definedName name="IQ_EST_NI_REPORT_SURPRISE_PERCENT">"c1890"</definedName>
    <definedName name="IQ_EST_NI_REPORT_SURPRISE_PERCENT_REUT">"c5428"</definedName>
    <definedName name="IQ_EST_NI_SBC_DIFF">"c4472"</definedName>
    <definedName name="IQ_EST_NI_SBC_GW_DIFF">"c4476"</definedName>
    <definedName name="IQ_EST_NI_SBC_GW_SURPRISE_PERCENT">"c4485"</definedName>
    <definedName name="IQ_EST_NI_SBC_SURPRISE_PERCENT">"c4491"</definedName>
    <definedName name="IQ_EST_NI_SURPRISE_PERCENT">"c1886"</definedName>
    <definedName name="IQ_EST_NI_SURPRISE_PERCENT_REUT">"c5424"</definedName>
    <definedName name="IQ_EST_NUM_BUY">"c1759"</definedName>
    <definedName name="IQ_EST_NUM_HIGH_REC">"c5649"</definedName>
    <definedName name="IQ_EST_NUM_HIGH_REC_REUT">"c3870"</definedName>
    <definedName name="IQ_EST_NUM_HIGHEST_REC">"c5648"</definedName>
    <definedName name="IQ_EST_NUM_HIGHEST_REC_REUT">"c3869"</definedName>
    <definedName name="IQ_EST_NUM_HOLD">"c1761"</definedName>
    <definedName name="IQ_EST_NUM_LOW_REC">"c5651"</definedName>
    <definedName name="IQ_EST_NUM_LOW_REC_REUT">"c3872"</definedName>
    <definedName name="IQ_EST_NUM_LOWEST_REC">"c5652"</definedName>
    <definedName name="IQ_EST_NUM_LOWEST_REC_REUT">"c3873"</definedName>
    <definedName name="IQ_EST_NUM_NEUTRAL_REC">"c5650"</definedName>
    <definedName name="IQ_EST_NUM_NEUTRAL_REC_REUT">"c3871"</definedName>
    <definedName name="IQ_EST_NUM_NO_OPINION">"c1758"</definedName>
    <definedName name="IQ_EST_NUM_NO_OPINION_REUT">"c3868"</definedName>
    <definedName name="IQ_EST_NUM_OUTPERFORM">"c1760"</definedName>
    <definedName name="IQ_EST_NUM_SELL">"c1763"</definedName>
    <definedName name="IQ_EST_NUM_UNDERPERFORM">"c1762"</definedName>
    <definedName name="IQ_EST_OPER_INC_DIFF">"c1877"</definedName>
    <definedName name="IQ_EST_OPER_INC_DIFF_REUT">"c5415"</definedName>
    <definedName name="IQ_EST_OPER_INC_SURPRISE_PERCENT">"c1878"</definedName>
    <definedName name="IQ_EST_OPER_INC_SURPRISE_PERCENT_REUT">"c5416"</definedName>
    <definedName name="IQ_EST_PRE_TAX_DIFF">"c1879"</definedName>
    <definedName name="IQ_EST_PRE_TAX_DIFF_REUT">"c5417"</definedName>
    <definedName name="IQ_EST_PRE_TAX_GW_DIFF">"c1881"</definedName>
    <definedName name="IQ_EST_PRE_TAX_GW_DIFF_REUT">"c5419"</definedName>
    <definedName name="IQ_EST_PRE_TAX_GW_SURPRISE_PERCENT">"c1882"</definedName>
    <definedName name="IQ_EST_PRE_TAX_GW_SURPRISE_PERCENT_REUT">"c5420"</definedName>
    <definedName name="IQ_EST_PRE_TAX_REPORT_DIFF">"c1883"</definedName>
    <definedName name="IQ_EST_PRE_TAX_REPORT_DIFF_REUT">"c5421"</definedName>
    <definedName name="IQ_EST_PRE_TAX_REPORT_SURPRISE_PERCENT">"c1884"</definedName>
    <definedName name="IQ_EST_PRE_TAX_REPORT_SURPRISE_PERCENT_REUT">"c5422"</definedName>
    <definedName name="IQ_EST_PRE_TAX_SURPRISE_PERCENT">"c1880"</definedName>
    <definedName name="IQ_EST_PRE_TAX_SURPRISE_PERCENT_REUT">"c5418"</definedName>
    <definedName name="IQ_EST_RECURRING_PROFIT_SHARE_DIFF">"c4505"</definedName>
    <definedName name="IQ_EST_RECURRING_PROFIT_SHARE_SURPRISE_PERCENT">"c4515"</definedName>
    <definedName name="IQ_EST_REV_DIFF">"c1865"</definedName>
    <definedName name="IQ_EST_REV_DIFF_REUT">"c3886"</definedName>
    <definedName name="IQ_EST_REV_GROWTH_1YR">"c1638"</definedName>
    <definedName name="IQ_EST_REV_GROWTH_1YR_REUT">"c3860"</definedName>
    <definedName name="IQ_EST_REV_GROWTH_2YR">"c1639"</definedName>
    <definedName name="IQ_EST_REV_GROWTH_2YR_REUT">"c3861"</definedName>
    <definedName name="IQ_EST_REV_GROWTH_Q_1YR">"c1640"</definedName>
    <definedName name="IQ_EST_REV_GROWTH_Q_1YR_REUT">"c3862"</definedName>
    <definedName name="IQ_EST_REV_SEQ_GROWTH_Q">"c1765"</definedName>
    <definedName name="IQ_EST_REV_SEQ_GROWTH_Q_REUT">"c3863"</definedName>
    <definedName name="IQ_EST_REV_SURPRISE_PERCENT">"c1866"</definedName>
    <definedName name="IQ_EST_REV_SURPRISE_PERCENT_REUT">"c3887"</definedName>
    <definedName name="IQ_EST_VENDOR">"c5564"</definedName>
    <definedName name="IQ_ESTIMATED_ASSESSABLE_DEPOSITS_FDIC">"c6490"</definedName>
    <definedName name="IQ_ESTIMATED_INSURED_DEPOSITS_FDIC">"c6491"</definedName>
    <definedName name="IQ_EV_OVER_EMPLOYEE">"c1428"</definedName>
    <definedName name="IQ_EV_OVER_LTM_EBIT">"c1426"</definedName>
    <definedName name="IQ_EV_OVER_LTM_EBITDA">"c1427"</definedName>
    <definedName name="IQ_EV_OVER_LTM_REVENUE">"c1429"</definedName>
    <definedName name="IQ_EVAL_DATE">"c2180"</definedName>
    <definedName name="IQ_EXCHANGE">"c405"</definedName>
    <definedName name="IQ_EXCISE_TAXES_EXCL_SALES">"c5515"</definedName>
    <definedName name="IQ_EXCISE_TAXES_INCL_SALES">"c5514"</definedName>
    <definedName name="IQ_EXERCISE_PRICE">"c1897"</definedName>
    <definedName name="IQ_EXERCISED">"c406"</definedName>
    <definedName name="IQ_EXP_RETURN_PENSION_DOMESTIC">"c407"</definedName>
    <definedName name="IQ_EXP_RETURN_PENSION_FOREIGN">"c408"</definedName>
    <definedName name="IQ_EXPLORE_DRILL">"c409"</definedName>
    <definedName name="IQ_EXPORTS_APR_FC_UNUSED_UNUSED_UNUSED">"c8401"</definedName>
    <definedName name="IQ_EXPORTS_APR_UNUSED_UNUSED_UNUSED">"c7521"</definedName>
    <definedName name="IQ_EXPORTS_FC_UNUSED_UNUSED_UNUSED">"c7741"</definedName>
    <definedName name="IQ_EXPORTS_GOODS_REAL_SAAR_APR_FC_UNUSED_UNUSED_UNUSED">"c8512"</definedName>
    <definedName name="IQ_EXPORTS_GOODS_REAL_SAAR_APR_UNUSED_UNUSED_UNUSED">"c7632"</definedName>
    <definedName name="IQ_EXPORTS_GOODS_REAL_SAAR_FC_UNUSED_UNUSED_UNUSED">"c7852"</definedName>
    <definedName name="IQ_EXPORTS_GOODS_REAL_SAAR_POP_FC_UNUSED_UNUSED_UNUSED">"c8072"</definedName>
    <definedName name="IQ_EXPORTS_GOODS_REAL_SAAR_POP_UNUSED_UNUSED_UNUSED">"c7192"</definedName>
    <definedName name="IQ_EXPORTS_GOODS_REAL_SAAR_UNUSED_UNUSED_UNUSED">"c6972"</definedName>
    <definedName name="IQ_EXPORTS_GOODS_REAL_SAAR_YOY_FC_UNUSED_UNUSED_UNUSED">"c8292"</definedName>
    <definedName name="IQ_EXPORTS_GOODS_REAL_SAAR_YOY_UNUSED_UNUSED_UNUSED">"c7412"</definedName>
    <definedName name="IQ_EXPORTS_POP_FC_UNUSED_UNUSED_UNUSED">"c7961"</definedName>
    <definedName name="IQ_EXPORTS_POP_UNUSED_UNUSED_UNUSED">"c7081"</definedName>
    <definedName name="IQ_EXPORTS_SERVICES_REAL_SAAR_APR_FC_UNUSED_UNUSED_UNUSED">"c8516"</definedName>
    <definedName name="IQ_EXPORTS_SERVICES_REAL_SAAR_APR_UNUSED_UNUSED_UNUSED">"c7636"</definedName>
    <definedName name="IQ_EXPORTS_SERVICES_REAL_SAAR_FC_UNUSED_UNUSED_UNUSED">"c7856"</definedName>
    <definedName name="IQ_EXPORTS_SERVICES_REAL_SAAR_POP_FC_UNUSED_UNUSED_UNUSED">"c8076"</definedName>
    <definedName name="IQ_EXPORTS_SERVICES_REAL_SAAR_POP_UNUSED_UNUSED_UNUSED">"c7196"</definedName>
    <definedName name="IQ_EXPORTS_SERVICES_REAL_SAAR_UNUSED_UNUSED_UNUSED">"c6976"</definedName>
    <definedName name="IQ_EXPORTS_SERVICES_REAL_SAAR_YOY_FC_UNUSED_UNUSED_UNUSED">"c8296"</definedName>
    <definedName name="IQ_EXPORTS_SERVICES_REAL_SAAR_YOY_UNUSED_UNUSED_UNUSED">"c7416"</definedName>
    <definedName name="IQ_EXPORTS_UNUSED_UNUSED_UNUSED">"c6861"</definedName>
    <definedName name="IQ_EXPORTS_YOY_FC_UNUSED_UNUSED_UNUSED">"c8181"</definedName>
    <definedName name="IQ_EXPORTS_YOY_UNUSED_UNUSED_UNUSED">"c7301"</definedName>
    <definedName name="IQ_EXTRA_ACC_ITEMS">"c410"</definedName>
    <definedName name="IQ_EXTRA_ACC_ITEMS_BNK">"c411"</definedName>
    <definedName name="IQ_EXTRA_ACC_ITEMS_BR">"c412"</definedName>
    <definedName name="IQ_EXTRA_ACC_ITEMS_FIN">"c413"</definedName>
    <definedName name="IQ_EXTRA_ACC_ITEMS_INS">"c414"</definedName>
    <definedName name="IQ_EXTRA_ACC_ITEMS_RE">"c6216"</definedName>
    <definedName name="IQ_EXTRA_ACC_ITEMS_REIT">"c415"</definedName>
    <definedName name="IQ_EXTRA_ACC_ITEMS_UTI">"c416"</definedName>
    <definedName name="IQ_EXTRA_ITEMS">"c1459"</definedName>
    <definedName name="IQ_EXTRAORDINARY_GAINS_FDIC">"c6586"</definedName>
    <definedName name="IQ_FAIR_VALUE_FDIC">"c6427"</definedName>
    <definedName name="IQ_FARM_LOANS_NET_FDIC">"c6316"</definedName>
    <definedName name="IQ_FARM_LOANS_TOTAL_LOANS_FOREIGN_FDIC">"c6450"</definedName>
    <definedName name="IQ_FARMLAND_LOANS_FDIC">"c6314"</definedName>
    <definedName name="IQ_FDIC">"c417"</definedName>
    <definedName name="IQ_FED_FUNDS_PURCHASED_FDIC">"c6343"</definedName>
    <definedName name="IQ_FED_FUNDS_SOLD_FDIC">"c6307"</definedName>
    <definedName name="IQ_FEDFUNDS_SOLD">"c2256"</definedName>
    <definedName name="IQ_FFO">"c1574"</definedName>
    <definedName name="IQ_FFO_ACT_OR_EST">"c2216"</definedName>
    <definedName name="IQ_FFO_ADJ_ACT_OR_EST">"c4435"</definedName>
    <definedName name="IQ_FFO_ADJ_EST">"c4434"</definedName>
    <definedName name="IQ_FFO_ADJ_GUIDANCE">"c4436"</definedName>
    <definedName name="IQ_FFO_ADJ_HIGH_EST">"c4437"</definedName>
    <definedName name="IQ_FFO_ADJ_HIGH_GUIDANCE">"c4202"</definedName>
    <definedName name="IQ_FFO_ADJ_LOW_EST">"c4438"</definedName>
    <definedName name="IQ_FFO_ADJ_LOW_GUIDANCE">"c4242"</definedName>
    <definedName name="IQ_FFO_ADJ_MEDIAN_EST">"c4439"</definedName>
    <definedName name="IQ_FFO_ADJ_NUM_EST">"c4440"</definedName>
    <definedName name="IQ_FFO_ADJ_STDDEV_EST">"c4441"</definedName>
    <definedName name="IQ_FFO_EST">"c418"</definedName>
    <definedName name="IQ_FFO_EST_REUT">"c3837"</definedName>
    <definedName name="IQ_FFO_GUIDANCE">"c4443"</definedName>
    <definedName name="IQ_FFO_HIGH_EST">"c419"</definedName>
    <definedName name="IQ_FFO_HIGH_EST_REUT">"c3839"</definedName>
    <definedName name="IQ_FFO_HIGH_GUIDANCE">"c4184"</definedName>
    <definedName name="IQ_FFO_LOW_EST">"c420"</definedName>
    <definedName name="IQ_FFO_LOW_EST_REUT">"c3840"</definedName>
    <definedName name="IQ_FFO_LOW_GUIDANCE">"c4224"</definedName>
    <definedName name="IQ_FFO_MEDIAN_EST">"c1665"</definedName>
    <definedName name="IQ_FFO_MEDIAN_EST_REUT">"c3838"</definedName>
    <definedName name="IQ_FFO_NUM_EST">"c421"</definedName>
    <definedName name="IQ_FFO_NUM_EST_REUT">"c3841"</definedName>
    <definedName name="IQ_FFO_PAYOUT_RATIO">"c3492"</definedName>
    <definedName name="IQ_FFO_SHARE_ACT_OR_EST">"c4446"</definedName>
    <definedName name="IQ_FFO_SHARE_EST">"c4445"</definedName>
    <definedName name="IQ_FFO_SHARE_GUIDANCE">"c4447"</definedName>
    <definedName name="IQ_FFO_SHARE_HIGH_EST">"c4448"</definedName>
    <definedName name="IQ_FFO_SHARE_HIGH_GUIDANCE">"c4203"</definedName>
    <definedName name="IQ_FFO_SHARE_LOW_EST">"c4449"</definedName>
    <definedName name="IQ_FFO_SHARE_LOW_GUIDANCE">"c4243"</definedName>
    <definedName name="IQ_FFO_SHARE_MEDIAN_EST">"c4450"</definedName>
    <definedName name="IQ_FFO_SHARE_NUM_EST">"c4451"</definedName>
    <definedName name="IQ_FFO_SHARE_STDDEV_EST">"c4452"</definedName>
    <definedName name="IQ_FFO_STDDEV_EST">"c422"</definedName>
    <definedName name="IQ_FFO_STDDEV_EST_REUT">"c3842"</definedName>
    <definedName name="IQ_FH">100000</definedName>
    <definedName name="IQ_FHLB_ADVANCES_FDIC">"c6366"</definedName>
    <definedName name="IQ_FHLB_DEBT">"c423"</definedName>
    <definedName name="IQ_FHLB_DUE_CY">"c2080"</definedName>
    <definedName name="IQ_FHLB_DUE_CY1">"c2081"</definedName>
    <definedName name="IQ_FHLB_DUE_CY2">"c2082"</definedName>
    <definedName name="IQ_FHLB_DUE_CY3">"c2083"</definedName>
    <definedName name="IQ_FHLB_DUE_CY4">"c2084"</definedName>
    <definedName name="IQ_FHLB_DUE_NEXT_FIVE">"c2085"</definedName>
    <definedName name="IQ_FIDUCIARY_ACTIVITIES_FDIC">"c6571"</definedName>
    <definedName name="IQ_FIFETEEN_YEAR_FIXED_AND_FLOATING_RATE_FDIC">"c6423"</definedName>
    <definedName name="IQ_FIFETEEN_YEAR_MORTGAGE_PASS_THROUGHS_FDIC">"c6415"</definedName>
    <definedName name="IQ_FILING_CURRENCY">"c2129"</definedName>
    <definedName name="IQ_FILINGDATE_BS">"c424"</definedName>
    <definedName name="IQ_FILINGDATE_CF">"c425"</definedName>
    <definedName name="IQ_FILINGDATE_IS">"c426"</definedName>
    <definedName name="IQ_FILM_RIGHTS">"c2254"</definedName>
    <definedName name="IQ_FIN_DATA_SOURCE">"c6788"</definedName>
    <definedName name="IQ_FIN_DIV_ASSETS_CURRENT">"c427"</definedName>
    <definedName name="IQ_FIN_DIV_ASSETS_LT">"c428"</definedName>
    <definedName name="IQ_FIN_DIV_CASH_EQUIV">"c6289"</definedName>
    <definedName name="IQ_FIN_DIV_CURRENT_PORT_DEBT_TOTAL">"c5524"</definedName>
    <definedName name="IQ_FIN_DIV_CURRENT_PORT_LEASES_TOTAL">"c5523"</definedName>
    <definedName name="IQ_FIN_DIV_DEBT_CURRENT">"c429"</definedName>
    <definedName name="IQ_FIN_DIV_DEBT_LT">"c430"</definedName>
    <definedName name="IQ_FIN_DIV_DEBT_LT_TOTAL">"c5526"</definedName>
    <definedName name="IQ_FIN_DIV_DEBT_TOTAL">"c5656"</definedName>
    <definedName name="IQ_FIN_DIV_EXP">"c431"</definedName>
    <definedName name="IQ_FIN_DIV_INT_EXP">"c432"</definedName>
    <definedName name="IQ_FIN_DIV_LEASES_LT_TOTAL">"c5525"</definedName>
    <definedName name="IQ_FIN_DIV_LIAB_CURRENT">"c433"</definedName>
    <definedName name="IQ_FIN_DIV_LIAB_LT">"c434"</definedName>
    <definedName name="IQ_FIN_DIV_LOANS_CURRENT">"c435"</definedName>
    <definedName name="IQ_FIN_DIV_LOANS_LT">"c436"</definedName>
    <definedName name="IQ_FIN_DIV_LT_DEBT_TOTAL">"c5655"</definedName>
    <definedName name="IQ_FIN_DIV_NOTES_PAY_TOTAL">"c5522"</definedName>
    <definedName name="IQ_FIN_DIV_REV">"c437"</definedName>
    <definedName name="IQ_FIN_DIV_ST_DEBT_TOTAL">"c5527"</definedName>
    <definedName name="IQ_FIN_DIV_ST_INVEST">"c6288"</definedName>
    <definedName name="IQ_FINANCING_CASH">"c1405"</definedName>
    <definedName name="IQ_FINANCING_CASH_SUPPL">"c1406"</definedName>
    <definedName name="IQ_FINANCING_OBLIG_CURRENT">"c6190"</definedName>
    <definedName name="IQ_FINANCING_OBLIG_NON_CURRENT">"c6191"</definedName>
    <definedName name="IQ_FINISHED_INV">"c438"</definedName>
    <definedName name="IQ_FIRST_INT_DATE">"c2186"</definedName>
    <definedName name="IQ_FIRST_YEAR_LIFE">"c439"</definedName>
    <definedName name="IQ_FIRST_YEAR_LIFE_PREM">"c2787"</definedName>
    <definedName name="IQ_FIRST_YEAR_PREM">"c2786"</definedName>
    <definedName name="IQ_FIRSTPRICINGDATE">"c3050"</definedName>
    <definedName name="IQ_FISCAL_Q">"c440"</definedName>
    <definedName name="IQ_FISCAL_Q_EST">"c6794"</definedName>
    <definedName name="IQ_FISCAL_Q_EST_REUT">"c6798"</definedName>
    <definedName name="IQ_FISCAL_Y">"c441"</definedName>
    <definedName name="IQ_FISCAL_Y_EST">"c6795"</definedName>
    <definedName name="IQ_FISCAL_Y_EST_REUT">"c6799"</definedName>
    <definedName name="IQ_FIVE_PERCENT_OWNER">"c442"</definedName>
    <definedName name="IQ_FIVE_YEAR_FIXED_AND_FLOATING_RATE_FDIC">"c6422"</definedName>
    <definedName name="IQ_FIVE_YEAR_MORTGAGE_PASS_THROUGHS_FDIC">"c6414"</definedName>
    <definedName name="IQ_FIVEPERCENT_PERCENT">"c443"</definedName>
    <definedName name="IQ_FIVEPERCENT_SHARES">"c444"</definedName>
    <definedName name="IQ_FIXED_ASSET_TURNS">"c445"</definedName>
    <definedName name="IQ_FIXED_INVEST_APR_FC_UNUSED_UNUSED_UNUSED">"c8410"</definedName>
    <definedName name="IQ_FIXED_INVEST_APR_UNUSED_UNUSED_UNUSED">"c7530"</definedName>
    <definedName name="IQ_FIXED_INVEST_FC_UNUSED_UNUSED_UNUSED">"c7750"</definedName>
    <definedName name="IQ_FIXED_INVEST_POP_FC_UNUSED_UNUSED_UNUSED">"c7970"</definedName>
    <definedName name="IQ_FIXED_INVEST_POP_UNUSED_UNUSED_UNUSED">"c7090"</definedName>
    <definedName name="IQ_FIXED_INVEST_REAL_APR_FC_UNUSED_UNUSED_UNUSED">"c8518"</definedName>
    <definedName name="IQ_FIXED_INVEST_REAL_APR_UNUSED_UNUSED_UNUSED">"c7638"</definedName>
    <definedName name="IQ_FIXED_INVEST_REAL_FC_UNUSED_UNUSED_UNUSED">"c7858"</definedName>
    <definedName name="IQ_FIXED_INVEST_REAL_POP_FC_UNUSED_UNUSED_UNUSED">"c8078"</definedName>
    <definedName name="IQ_FIXED_INVEST_REAL_POP_UNUSED_UNUSED_UNUSED">"c7198"</definedName>
    <definedName name="IQ_FIXED_INVEST_REAL_UNUSED_UNUSED_UNUSED">"c6978"</definedName>
    <definedName name="IQ_FIXED_INVEST_REAL_YOY_FC_UNUSED_UNUSED_UNUSED">"c8298"</definedName>
    <definedName name="IQ_FIXED_INVEST_REAL_YOY_UNUSED_UNUSED_UNUSED">"c7418"</definedName>
    <definedName name="IQ_FIXED_INVEST_UNUSED_UNUSED_UNUSED">"c6870"</definedName>
    <definedName name="IQ_FIXED_INVEST_YOY_FC_UNUSED_UNUSED_UNUSED">"c8190"</definedName>
    <definedName name="IQ_FIXED_INVEST_YOY_UNUSED_UNUSED_UNUSED">"c7310"</definedName>
    <definedName name="IQ_FLOAT_PERCENT">"c1575"</definedName>
    <definedName name="IQ_FNMA_FHLMC_FDIC">"c6397"</definedName>
    <definedName name="IQ_FNMA_FHLMC_GNMA_FDIC">"c6399"</definedName>
    <definedName name="IQ_FORECLOSED_PROPERTIES_FDIC">"c6459"</definedName>
    <definedName name="IQ_FOREIGN_BANK_LOANS_FDIC">"c6437"</definedName>
    <definedName name="IQ_FOREIGN_BANKS_DEPOSITS_FOREIGN_FDIC">"c6481"</definedName>
    <definedName name="IQ_FOREIGN_BANKS_LOAN_CHARG_OFFS_FDIC">"c6645"</definedName>
    <definedName name="IQ_FOREIGN_BANKS_NET_CHARGE_OFFS_FDIC">"c6647"</definedName>
    <definedName name="IQ_FOREIGN_BANKS_NONTRANSACTION_ACCOUNTS_FDIC">"c6550"</definedName>
    <definedName name="IQ_FOREIGN_BANKS_RECOVERIES_FDIC">"c6646"</definedName>
    <definedName name="IQ_FOREIGN_BANKS_TRANSACTION_ACCOUNTS_FDIC">"c6542"</definedName>
    <definedName name="IQ_FOREIGN_BRANCHES_U.S._BANKS_LOANS_FDIC">"c6438"</definedName>
    <definedName name="IQ_FOREIGN_BRANCHES_US_BANKS_FDIC">"c6392"</definedName>
    <definedName name="IQ_FOREIGN_BRANCHES_US_BANKS_LOANS_FDIC">"c6438"</definedName>
    <definedName name="IQ_FOREIGN_COUNTRIES_BANKS_TOTAL_LOANS_FOREIGN_FDIC">"c6445"</definedName>
    <definedName name="IQ_FOREIGN_DEBT_SECURITIES_FDIC">"c6303"</definedName>
    <definedName name="IQ_FOREIGN_DEP_IB">"c446"</definedName>
    <definedName name="IQ_FOREIGN_DEP_NON_IB">"c447"</definedName>
    <definedName name="IQ_FOREIGN_DEPOSITS_NONTRANSACTION_ACCOUNTS_FDIC">"c6549"</definedName>
    <definedName name="IQ_FOREIGN_DEPOSITS_TRANSACTION_ACCOUNTS_FDIC">"c6541"</definedName>
    <definedName name="IQ_FOREIGN_EXCHANGE">"c1376"</definedName>
    <definedName name="IQ_FOREIGN_EXCHANGE_EXPOSURES_FDIC">"c6663"</definedName>
    <definedName name="IQ_FOREIGN_GOVERNMENT_LOANS_FDIC">"c6430"</definedName>
    <definedName name="IQ_FOREIGN_GOVERNMENTS_CHARGE_OFFS_FDIC">"c6600"</definedName>
    <definedName name="IQ_FOREIGN_GOVERNMENTS_DEPOSITS_FOREIGN_FDIC">"c6482"</definedName>
    <definedName name="IQ_FOREIGN_GOVERNMENTS_NET_CHARGE_OFFS_FDIC">"c6638"</definedName>
    <definedName name="IQ_FOREIGN_GOVERNMENTS_NONTRANSACTION_ACCOUNTS_FDIC">"c6551"</definedName>
    <definedName name="IQ_FOREIGN_GOVERNMENTS_RECOVERIES_FDIC">"c6619"</definedName>
    <definedName name="IQ_FOREIGN_GOVERNMENTS_TOTAL_DEPOSITS_FDIC">"c6476"</definedName>
    <definedName name="IQ_FOREIGN_GOVERNMENTS_TRANSACTION_ACCOUNTS_FDIC">"c6543"</definedName>
    <definedName name="IQ_FOREIGN_LOANS">"c448"</definedName>
    <definedName name="IQ_FQ">500</definedName>
    <definedName name="IQ_FUEL">"c449"</definedName>
    <definedName name="IQ_FULL_TIME">"c450"</definedName>
    <definedName name="IQ_FULLY_INSURED_DEPOSITS_FDIC">"c6487"</definedName>
    <definedName name="IQ_FUTURES_FORWARD_CONTRACTS_NOTIONAL_AMOUNT_FDIC">"c6518"</definedName>
    <definedName name="IQ_FUTURES_FORWARD_CONTRACTS_RATE_RISK_FDIC">"c6508"</definedName>
    <definedName name="IQ_FWD">"LTM"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WD_Q3">"504"</definedName>
    <definedName name="IQ_FWD_Q4">"505"</definedName>
    <definedName name="IQ_FWD_Q5">"506"</definedName>
    <definedName name="IQ_FWD_Q6">"507"</definedName>
    <definedName name="IQ_FWD_Q7">"508"</definedName>
    <definedName name="IQ_FWD1">"LTM"</definedName>
    <definedName name="IQ_FX">"c451"</definedName>
    <definedName name="IQ_FX_CONTRACTS_FDIC">"c6517"</definedName>
    <definedName name="IQ_FX_CONTRACTS_SPOT_FDIC">"c6356"</definedName>
    <definedName name="IQ_FY">1000</definedName>
    <definedName name="IQ_FY_DATE">"IQ_FY_DATE"</definedName>
    <definedName name="IQ_GA_EXP">"c2241"</definedName>
    <definedName name="IQ_GAAP_BS">"c6789"</definedName>
    <definedName name="IQ_GAAP_CF">"c6790"</definedName>
    <definedName name="IQ_GAAP_IS">"c6194"</definedName>
    <definedName name="IQ_GAIN_ASSETS">"c452"</definedName>
    <definedName name="IQ_GAIN_ASSETS_BNK">"c453"</definedName>
    <definedName name="IQ_GAIN_ASSETS_BR">"c454"</definedName>
    <definedName name="IQ_GAIN_ASSETS_CF">"c455"</definedName>
    <definedName name="IQ_GAIN_ASSETS_CF_BNK">"c456"</definedName>
    <definedName name="IQ_GAIN_ASSETS_CF_BR">"c457"</definedName>
    <definedName name="IQ_GAIN_ASSETS_CF_FIN">"c458"</definedName>
    <definedName name="IQ_GAIN_ASSETS_CF_INS">"c459"</definedName>
    <definedName name="IQ_GAIN_ASSETS_CF_RE">"c6217"</definedName>
    <definedName name="IQ_GAIN_ASSETS_CF_REIT">"c460"</definedName>
    <definedName name="IQ_GAIN_ASSETS_CF_UTI">"c461"</definedName>
    <definedName name="IQ_GAIN_ASSETS_FIN">"c462"</definedName>
    <definedName name="IQ_GAIN_ASSETS_INS">"c463"</definedName>
    <definedName name="IQ_GAIN_ASSETS_RE">"c6218"</definedName>
    <definedName name="IQ_GAIN_ASSETS_REIT">"c471"</definedName>
    <definedName name="IQ_GAIN_ASSETS_REV">"c472"</definedName>
    <definedName name="IQ_GAIN_ASSETS_REV_BNK">"c473"</definedName>
    <definedName name="IQ_GAIN_ASSETS_REV_BR">"c474"</definedName>
    <definedName name="IQ_GAIN_ASSETS_REV_FIN">"c475"</definedName>
    <definedName name="IQ_GAIN_ASSETS_REV_INS">"c476"</definedName>
    <definedName name="IQ_GAIN_ASSETS_REV_RE">"c6219"</definedName>
    <definedName name="IQ_GAIN_ASSETS_REV_REIT">"c477"</definedName>
    <definedName name="IQ_GAIN_ASSETS_REV_UTI">"c478"</definedName>
    <definedName name="IQ_GAIN_ASSETS_UTI">"c479"</definedName>
    <definedName name="IQ_GAIN_INVEST">"c1463"</definedName>
    <definedName name="IQ_GAIN_INVEST_BNK">"c1582"</definedName>
    <definedName name="IQ_GAIN_INVEST_BR">"c1464"</definedName>
    <definedName name="IQ_GAIN_INVEST_CF">"c480"</definedName>
    <definedName name="IQ_GAIN_INVEST_CF_BNK">"c481"</definedName>
    <definedName name="IQ_GAIN_INVEST_CF_BR">"c482"</definedName>
    <definedName name="IQ_GAIN_INVEST_CF_FIN">"c483"</definedName>
    <definedName name="IQ_GAIN_INVEST_CF_INS">"c484"</definedName>
    <definedName name="IQ_GAIN_INVEST_CF_RE">"c6220"</definedName>
    <definedName name="IQ_GAIN_INVEST_CF_REIT">"c485"</definedName>
    <definedName name="IQ_GAIN_INVEST_CF_UTI">"c486"</definedName>
    <definedName name="IQ_GAIN_INVEST_FIN">"c1465"</definedName>
    <definedName name="IQ_GAIN_INVEST_INS">"c1466"</definedName>
    <definedName name="IQ_GAIN_INVEST_RE">"c6278"</definedName>
    <definedName name="IQ_GAIN_INVEST_REIT">"c1467"</definedName>
    <definedName name="IQ_GAIN_INVEST_REV">"c494"</definedName>
    <definedName name="IQ_GAIN_INVEST_REV_BNK">"c495"</definedName>
    <definedName name="IQ_GAIN_INVEST_REV_BR">"c496"</definedName>
    <definedName name="IQ_GAIN_INVEST_REV_FIN">"c497"</definedName>
    <definedName name="IQ_GAIN_INVEST_REV_INS">"c498"</definedName>
    <definedName name="IQ_GAIN_INVEST_REV_RE">"c6221"</definedName>
    <definedName name="IQ_GAIN_INVEST_REV_REIT">"c499"</definedName>
    <definedName name="IQ_GAIN_INVEST_REV_UTI">"c500"</definedName>
    <definedName name="IQ_GAIN_INVEST_UTI">"c1468"</definedName>
    <definedName name="IQ_GAIN_LOANS_REC">"c501"</definedName>
    <definedName name="IQ_GAIN_LOANS_RECEIV">"c502"</definedName>
    <definedName name="IQ_GAIN_LOANS_RECEIV_REV_FIN">"c503"</definedName>
    <definedName name="IQ_GAIN_LOANS_REV">"c504"</definedName>
    <definedName name="IQ_GAIN_SALE_ASSETS">"c1377"</definedName>
    <definedName name="IQ_GAIN_SALE_LOANS_FDIC">"c6673"</definedName>
    <definedName name="IQ_GAIN_SALE_RE_FDIC">"c6674"</definedName>
    <definedName name="IQ_GAINS_SALE_ASSETS_FDIC">"c6675"</definedName>
    <definedName name="IQ_GEO_SEG_ASSETS">"c4069"</definedName>
    <definedName name="IQ_GEO_SEG_ASSETS_ABS">"c4091"</definedName>
    <definedName name="IQ_GEO_SEG_ASSETS_TOTAL">"c4123"</definedName>
    <definedName name="IQ_GEO_SEG_CAPEX">"c4083"</definedName>
    <definedName name="IQ_GEO_SEG_CAPEX_ABS">"c4105"</definedName>
    <definedName name="IQ_GEO_SEG_CAPEX_TOTAL">"c4127"</definedName>
    <definedName name="IQ_GEO_SEG_DA">"c4082"</definedName>
    <definedName name="IQ_GEO_SEG_DA_ABS">"c4104"</definedName>
    <definedName name="IQ_GEO_SEG_DA_TOTAL">"c4126"</definedName>
    <definedName name="IQ_GEO_SEG_EARNINGS_OP">"c4073"</definedName>
    <definedName name="IQ_GEO_SEG_EARNINGS_OP_ABS">"c4095"</definedName>
    <definedName name="IQ_GEO_SEG_EARNINGS_OP_TOTAL">"c4119"</definedName>
    <definedName name="IQ_GEO_SEG_EBT">"c4072"</definedName>
    <definedName name="IQ_GEO_SEG_EBT_ABS">"c4094"</definedName>
    <definedName name="IQ_GEO_SEG_EBT_TOTAL">"c4121"</definedName>
    <definedName name="IQ_GEO_SEG_GP">"c4070"</definedName>
    <definedName name="IQ_GEO_SEG_GP_ABS">"c4092"</definedName>
    <definedName name="IQ_GEO_SEG_GP_TOTAL">"c4120"</definedName>
    <definedName name="IQ_GEO_SEG_INC_TAX">"c4081"</definedName>
    <definedName name="IQ_GEO_SEG_INC_TAX_ABS">"c4103"</definedName>
    <definedName name="IQ_GEO_SEG_INC_TAX_TOTAL">"c4125"</definedName>
    <definedName name="IQ_GEO_SEG_INTEREST_EXP">"c4080"</definedName>
    <definedName name="IQ_GEO_SEG_INTEREST_EXP_ABS">"c4102"</definedName>
    <definedName name="IQ_GEO_SEG_INTEREST_EXP_TOTAL">"c4124"</definedName>
    <definedName name="IQ_GEO_SEG_NAME">"c5484"</definedName>
    <definedName name="IQ_GEO_SEG_NAME_ABS">"c5485"</definedName>
    <definedName name="IQ_GEO_SEG_NI">"c4071"</definedName>
    <definedName name="IQ_GEO_SEG_NI_ABS">"c4093"</definedName>
    <definedName name="IQ_GEO_SEG_NI_TOTAL">"c4122"</definedName>
    <definedName name="IQ_GEO_SEG_OPER_INC">"c4075"</definedName>
    <definedName name="IQ_GEO_SEG_OPER_INC_ABS">"c4097"</definedName>
    <definedName name="IQ_GEO_SEG_OPER_INC_TOTAL">"c4118"</definedName>
    <definedName name="IQ_GEO_SEG_REV">"c4074"</definedName>
    <definedName name="IQ_GEO_SEG_REV_ABS">"c4096"</definedName>
    <definedName name="IQ_GEO_SEG_REV_TOTAL">"c4117"</definedName>
    <definedName name="IQ_GNMA_FDIC">"c6398"</definedName>
    <definedName name="IQ_GOODWILL_FDIC">"c6334"</definedName>
    <definedName name="IQ_GOODWILL_IMPAIRMENT_FDIC">"c6678"</definedName>
    <definedName name="IQ_GOODWILL_INTAN_FDIC">"c6333"</definedName>
    <definedName name="IQ_GOODWILL_NET">"c1380"</definedName>
    <definedName name="IQ_GP">"c511"</definedName>
    <definedName name="IQ_GP_10YR_ANN_CAGR">"c6090"</definedName>
    <definedName name="IQ_GP_10YR_ANN_GROWTH">"c512"</definedName>
    <definedName name="IQ_GP_1YR_ANN_GROWTH">"c513"</definedName>
    <definedName name="IQ_GP_2YR_ANN_CAGR">"c6091"</definedName>
    <definedName name="IQ_GP_2YR_ANN_GROWTH">"c514"</definedName>
    <definedName name="IQ_GP_3YR_ANN_CAGR">"c6092"</definedName>
    <definedName name="IQ_GP_3YR_ANN_GROWTH">"c515"</definedName>
    <definedName name="IQ_GP_5YR_ANN_CAGR">"c6093"</definedName>
    <definedName name="IQ_GP_5YR_ANN_GROWTH">"c516"</definedName>
    <definedName name="IQ_GP_7YR_ANN_CAGR">"c6094"</definedName>
    <definedName name="IQ_GP_7YR_ANN_GROWTH">"c517"</definedName>
    <definedName name="IQ_GPPE">"c518"</definedName>
    <definedName name="IQ_GROSS_AH_EARNED">"c2742"</definedName>
    <definedName name="IQ_GROSS_CLAIM_EXP_INCUR">"c2755"</definedName>
    <definedName name="IQ_GROSS_CLAIM_EXP_PAID">"c2758"</definedName>
    <definedName name="IQ_GROSS_CLAIM_EXP_RES">"c2752"</definedName>
    <definedName name="IQ_GROSS_DIVID">"c1446"</definedName>
    <definedName name="IQ_GROSS_EARNED">"c2732"</definedName>
    <definedName name="IQ_GROSS_LIFE_EARNED">"c2737"</definedName>
    <definedName name="IQ_GROSS_LIFE_IN_FORCE">"c2767"</definedName>
    <definedName name="IQ_GROSS_LOANS">"c521"</definedName>
    <definedName name="IQ_GROSS_LOANS_10YR_ANN_CAGR">"c6095"</definedName>
    <definedName name="IQ_GROSS_LOANS_10YR_ANN_GROWTH">"c522"</definedName>
    <definedName name="IQ_GROSS_LOANS_1YR_ANN_GROWTH">"c523"</definedName>
    <definedName name="IQ_GROSS_LOANS_2YR_ANN_CAGR">"c6096"</definedName>
    <definedName name="IQ_GROSS_LOANS_2YR_ANN_GROWTH">"c524"</definedName>
    <definedName name="IQ_GROSS_LOANS_3YR_ANN_CAGR">"c6097"</definedName>
    <definedName name="IQ_GROSS_LOANS_3YR_ANN_GROWTH">"c525"</definedName>
    <definedName name="IQ_GROSS_LOANS_5YR_ANN_CAGR">"c6098"</definedName>
    <definedName name="IQ_GROSS_LOANS_5YR_ANN_GROWTH">"c526"</definedName>
    <definedName name="IQ_GROSS_LOANS_7YR_ANN_CAGR">"c6099"</definedName>
    <definedName name="IQ_GROSS_LOANS_7YR_ANN_GROWTH">"c527"</definedName>
    <definedName name="IQ_GROSS_LOANS_TOTAL_DEPOSITS">"c528"</definedName>
    <definedName name="IQ_GROSS_MARGIN">"c529"</definedName>
    <definedName name="IQ_GROSS_MARGIN_ACT_OR_EST">"c5554"</definedName>
    <definedName name="IQ_GROSS_MARGIN_EST">"c5547"</definedName>
    <definedName name="IQ_GROSS_MARGIN_HIGH_EST">"c5549"</definedName>
    <definedName name="IQ_GROSS_MARGIN_LOW_EST">"c5550"</definedName>
    <definedName name="IQ_GROSS_MARGIN_MEDIAN_EST">"c5548"</definedName>
    <definedName name="IQ_GROSS_MARGIN_NUM_EST">"c5551"</definedName>
    <definedName name="IQ_GROSS_MARGIN_STDDEV_EST">"c5552"</definedName>
    <definedName name="IQ_GROSS_PC_EARNED">"c2747"</definedName>
    <definedName name="IQ_GROSS_PROFIT">"c1378"</definedName>
    <definedName name="IQ_GROSS_SPRD">"c2155"</definedName>
    <definedName name="IQ_GROSS_WRITTEN">"c2726"</definedName>
    <definedName name="IQ_GW">"c530"</definedName>
    <definedName name="IQ_GW_AMORT_BR">"c532"</definedName>
    <definedName name="IQ_GW_AMORT_FIN">"c540"</definedName>
    <definedName name="IQ_GW_AMORT_INS">"c541"</definedName>
    <definedName name="IQ_GW_AMORT_REIT">"c542"</definedName>
    <definedName name="IQ_GW_AMORT_UTI">"c543"</definedName>
    <definedName name="IQ_GW_INTAN_AMORT">"c1469"</definedName>
    <definedName name="IQ_GW_INTAN_AMORT_BNK">"c544"</definedName>
    <definedName name="IQ_GW_INTAN_AMORT_BR">"c1470"</definedName>
    <definedName name="IQ_GW_INTAN_AMORT_CF">"c1471"</definedName>
    <definedName name="IQ_GW_INTAN_AMORT_CF_BNK">"c1472"</definedName>
    <definedName name="IQ_GW_INTAN_AMORT_CF_BR">"c1473"</definedName>
    <definedName name="IQ_GW_INTAN_AMORT_CF_FIN">"c1474"</definedName>
    <definedName name="IQ_GW_INTAN_AMORT_CF_INS">"c1475"</definedName>
    <definedName name="IQ_GW_INTAN_AMORT_CF_RE">"c6279"</definedName>
    <definedName name="IQ_GW_INTAN_AMORT_CF_REIT">"c1476"</definedName>
    <definedName name="IQ_GW_INTAN_AMORT_CF_UTI">"c1477"</definedName>
    <definedName name="IQ_GW_INTAN_AMORT_FIN">"c1478"</definedName>
    <definedName name="IQ_GW_INTAN_AMORT_INS">"c1479"</definedName>
    <definedName name="IQ_GW_INTAN_AMORT_RE">"c6280"</definedName>
    <definedName name="IQ_GW_INTAN_AMORT_REIT">"c1480"</definedName>
    <definedName name="IQ_GW_INTAN_AMORT_UTI">"c1481"</definedName>
    <definedName name="IQ_HC_ADMISSIONS">"c5953"</definedName>
    <definedName name="IQ_HC_ADMISSIONS_GROWTH">"c5997"</definedName>
    <definedName name="IQ_HC_ADMISSIONS_MANAGED_CARE">"c5956"</definedName>
    <definedName name="IQ_HC_ADMISSIONS_MEDICAID">"c5955"</definedName>
    <definedName name="IQ_HC_ADMISSIONS_MEDICARE">"c5954"</definedName>
    <definedName name="IQ_HC_ADMISSIONS_OTHER">"c5957"</definedName>
    <definedName name="IQ_HC_ADMISSIONS_SF">"c6006"</definedName>
    <definedName name="IQ_HC_ALFS">"c5952"</definedName>
    <definedName name="IQ_HC_AVG_BEDS_SVC">"c5951"</definedName>
    <definedName name="IQ_HC_AVG_DAILY_CENSUS">"c5965"</definedName>
    <definedName name="IQ_HC_AVG_LICENSED_BEDS">"c5949"</definedName>
    <definedName name="IQ_HC_AVG_LICENSED_BEDS_SF">"c6004"</definedName>
    <definedName name="IQ_HC_AVG_STAY">"c5966"</definedName>
    <definedName name="IQ_HC_AVG_STAY_SF">"c6016"</definedName>
    <definedName name="IQ_HC_BEDS_SVC">"c5950"</definedName>
    <definedName name="IQ_HC_DAYS_REV_OUT">"c5993"</definedName>
    <definedName name="IQ_HC_EQUIV_ADMISSIONS_GROWTH">"c5998"</definedName>
    <definedName name="IQ_HC_EQUIVALENT_ADMISSIONS">"c5958"</definedName>
    <definedName name="IQ_HC_EQUIVALENT_ADMISSIONS_SF">"c6007"</definedName>
    <definedName name="IQ_HC_ER_VISITS">"c5964"</definedName>
    <definedName name="IQ_HC_ER_VISITS_SF">"c6017"</definedName>
    <definedName name="IQ_HC_GROSS_INPATIENT_REV">"c5987"</definedName>
    <definedName name="IQ_HC_GROSS_OUTPATIENT_REV">"c5988"</definedName>
    <definedName name="IQ_HC_GROSS_PATIENT_REV">"c5989"</definedName>
    <definedName name="IQ_HC_HOSP_FACILITIES_CONSOL">"c5945"</definedName>
    <definedName name="IQ_HC_HOSP_FACILITIES_CONSOL_SF">"c6000"</definedName>
    <definedName name="IQ_HC_HOSP_FACILITIES_NON_CONSOL">"c5946"</definedName>
    <definedName name="IQ_HC_HOSP_FACILITIES_NON_CONSOL_SF">"c6001"</definedName>
    <definedName name="IQ_HC_HOSP_FACILITIES_TOTAL">"c5947"</definedName>
    <definedName name="IQ_HC_HOSP_FACILITIES_TOTAL_SF">"c6002"</definedName>
    <definedName name="IQ_HC_INPATIENT_PROCEDURES">"c5961"</definedName>
    <definedName name="IQ_HC_INPATIENT_PROCEDURES_SF">"c6011"</definedName>
    <definedName name="IQ_HC_INPATIENT_REV_PER_ADMISSION">"c5994"</definedName>
    <definedName name="IQ_HC_INTPATIENT_SVCS_PCT_REV">"c5975"</definedName>
    <definedName name="IQ_HC_INTPATIENT_SVCS_PCT_REV_SF">"c6015"</definedName>
    <definedName name="IQ_HC_LICENSED_BEDS">"c5948"</definedName>
    <definedName name="IQ_HC_LICENSED_BEDS_SF">"c6003"</definedName>
    <definedName name="IQ_HC_MANAGED_CARE_PCT_ADMISSIONS">"c5982"</definedName>
    <definedName name="IQ_HC_MANAGED_CARE_PCT_REV">"c5978"</definedName>
    <definedName name="IQ_HC_MEDICAID_PCT_ADMISSIONS">"c5981"</definedName>
    <definedName name="IQ_HC_MEDICAID_PCT_REV">"c5977"</definedName>
    <definedName name="IQ_HC_MEDICARE_PCT_ADMISSIONS">"c5980"</definedName>
    <definedName name="IQ_HC_MEDICARE_PCT_REV">"c5976"</definedName>
    <definedName name="IQ_HC_NET_INPATIENT_REV">"c5984"</definedName>
    <definedName name="IQ_HC_NET_OUTPATIENT_REV">"c5985"</definedName>
    <definedName name="IQ_HC_NET_PATIENT_REV">"c5986"</definedName>
    <definedName name="IQ_HC_NET_PATIENT_REV_SF">"c6005"</definedName>
    <definedName name="IQ_HC_OCC_RATE">"c5967"</definedName>
    <definedName name="IQ_HC_OCC_RATE_LICENSED_BEDS">"c5968"</definedName>
    <definedName name="IQ_HC_OCC_RATE_SF">"c6009"</definedName>
    <definedName name="IQ_HC_OPEX_SUPPLIES">"c5990"</definedName>
    <definedName name="IQ_HC_OTHER_OPEX_PCT_REV">"c5973"</definedName>
    <definedName name="IQ_HC_OUTPATIENT_PROCEDURES">"c5962"</definedName>
    <definedName name="IQ_HC_OUTPATIENT_PROCEDURES_SF">"c6012"</definedName>
    <definedName name="IQ_HC_OUTPATIENT_REV_PER_ADMISSION">"c5995"</definedName>
    <definedName name="IQ_HC_OUTPATIENT_SVCS_PCT_REV">"c5974"</definedName>
    <definedName name="IQ_HC_OUTPATIENT_SVCS_PCT_REV_SF">"c6014"</definedName>
    <definedName name="IQ_HC_PATIENT_DAYS">"c5960"</definedName>
    <definedName name="IQ_HC_PATIENT_DAYS_SF">"c6010"</definedName>
    <definedName name="IQ_HC_PROF_GEN_LIAB_CLAIM_PAID">"c5991"</definedName>
    <definedName name="IQ_HC_PROF_GEN_LIAB_EXP_BENEFIT">"c5992"</definedName>
    <definedName name="IQ_HC_PROVISION_DOUBTFUL_PCT_REV">"c5972"</definedName>
    <definedName name="IQ_HC_REV_GROWTH">"c5996"</definedName>
    <definedName name="IQ_HC_REV_PER_EQUIV_ADMISSION">"c5959"</definedName>
    <definedName name="IQ_HC_REV_PER_EQUIV_ADMISSION_SF">"c6008"</definedName>
    <definedName name="IQ_HC_REV_PER_EQUIV_ADMISSIONS_GROWTH">"c5999"</definedName>
    <definedName name="IQ_HC_REV_PER_PATIENT_DAY">"c5969"</definedName>
    <definedName name="IQ_HC_REV_PER_PATIENT_DAY_SF">"c6018"</definedName>
    <definedName name="IQ_HC_SALARIES_PCT_REV">"c5970"</definedName>
    <definedName name="IQ_HC_SUPPLIES_PCT_REV">"c5971"</definedName>
    <definedName name="IQ_HC_TOTAL_PROCEDURES">"c5963"</definedName>
    <definedName name="IQ_HC_TOTAL_PROCEDURES_SF">"c6013"</definedName>
    <definedName name="IQ_HC_UNINSURED_PCT_ADMISSIONS">"c5983"</definedName>
    <definedName name="IQ_HC_UNINSURED_PCT_REV">"c5979"</definedName>
    <definedName name="IQ_HELD_MATURITY_FDIC">"c6408"</definedName>
    <definedName name="IQ_HIGH_TARGET_PRICE">"c1651"</definedName>
    <definedName name="IQ_HIGH_TARGET_PRICE_REUT">"c5317"</definedName>
    <definedName name="IQ_HIGHPRICE">"c545"</definedName>
    <definedName name="IQ_HOME_AVG_LOAN_SIZE">"c5911"</definedName>
    <definedName name="IQ_HOME_BACKLOG">"c5844"</definedName>
    <definedName name="IQ_HOME_BACKLOG_AVG_JV">"c5848"</definedName>
    <definedName name="IQ_HOME_BACKLOG_AVG_JV_GROWTH">"c5928"</definedName>
    <definedName name="IQ_HOME_BACKLOG_AVG_JV_INC">"c5851"</definedName>
    <definedName name="IQ_HOME_BACKLOG_AVG_JV_INC_GROWTH">"c5931"</definedName>
    <definedName name="IQ_HOME_BACKLOG_AVG_PRICE">"c5845"</definedName>
    <definedName name="IQ_HOME_BACKLOG_AVG_PRICE_GROWTH">"c5925"</definedName>
    <definedName name="IQ_HOME_BACKLOG_GROWTH">"c5924"</definedName>
    <definedName name="IQ_HOME_BACKLOG_JV">"c5847"</definedName>
    <definedName name="IQ_HOME_BACKLOG_JV_GROWTH">"c5927"</definedName>
    <definedName name="IQ_HOME_BACKLOG_JV_INC">"c5850"</definedName>
    <definedName name="IQ_HOME_BACKLOG_JV_INC_GROWTH">"c5930"</definedName>
    <definedName name="IQ_HOME_BACKLOG_VALUE">"c5846"</definedName>
    <definedName name="IQ_HOME_BACKLOG_VALUE_GROWTH">"c5926"</definedName>
    <definedName name="IQ_HOME_BACKLOG_VALUE_JV">"c5849"</definedName>
    <definedName name="IQ_HOME_BACKLOG_VALUE_JV_GROWTH">"c5929"</definedName>
    <definedName name="IQ_HOME_BACKLOG_VALUE_JV_INC">"c5852"</definedName>
    <definedName name="IQ_HOME_BACKLOG_VALUE_JV_INC_GROWTH">"c5932"</definedName>
    <definedName name="IQ_HOME_COMMUNITIES_ACTIVE">"c5862"</definedName>
    <definedName name="IQ_HOME_COMMUNITIES_ACTIVE_GROWTH">"c5942"</definedName>
    <definedName name="IQ_HOME_COMMUNITIES_ACTIVE_JV">"c5863"</definedName>
    <definedName name="IQ_HOME_COMMUNITIES_ACTIVE_JV_GROWTH">"c5943"</definedName>
    <definedName name="IQ_HOME_COMMUNITIES_ACTIVE_JV_INC">"c5864"</definedName>
    <definedName name="IQ_HOME_COMMUNITIES_ACTIVE_JV_INC_GROWTH">"c5944"</definedName>
    <definedName name="IQ_HOME_COST_CONSTRUCTION_SVCS">"c5882"</definedName>
    <definedName name="IQ_HOME_COST_ELIMINATIONS_OTHER">"c5883"</definedName>
    <definedName name="IQ_HOME_COST_FINANCIAL_SVCS">"c5881"</definedName>
    <definedName name="IQ_HOME_COST_HOUSING">"c5877"</definedName>
    <definedName name="IQ_HOME_COST_LAND_LOT">"c5878"</definedName>
    <definedName name="IQ_HOME_COST_OTHER_HOMEBUILDING">"c5879"</definedName>
    <definedName name="IQ_HOME_COST_TOTAL">"c5884"</definedName>
    <definedName name="IQ_HOME_COST_TOTAL_HOMEBUILDING">"c5880"</definedName>
    <definedName name="IQ_HOME_DELIVERED">"c5835"</definedName>
    <definedName name="IQ_HOME_DELIVERED_AVG_PRICE">"c5836"</definedName>
    <definedName name="IQ_HOME_DELIVERED_AVG_PRICE_GROWTH">"c5916"</definedName>
    <definedName name="IQ_HOME_DELIVERED_AVG_PRICE_JV">"c5839"</definedName>
    <definedName name="IQ_HOME_DELIVERED_AVG_PRICE_JV_GROWTH">"c5919"</definedName>
    <definedName name="IQ_HOME_DELIVERED_AVG_PRICE_JV_INC">"c5842"</definedName>
    <definedName name="IQ_HOME_DELIVERED_AVG_PRICE_JV_INC_GROWTH">"c5922"</definedName>
    <definedName name="IQ_HOME_DELIVERED_GROWTH">"c5915"</definedName>
    <definedName name="IQ_HOME_DELIVERED_JV">"c5838"</definedName>
    <definedName name="IQ_HOME_DELIVERED_JV_GROWTH">"c5918"</definedName>
    <definedName name="IQ_HOME_DELIVERED_JV_INC">"c5841"</definedName>
    <definedName name="IQ_HOME_DELIVERED_JV_INC_GROWTH">"c5921"</definedName>
    <definedName name="IQ_HOME_DELIVERED_VALUE">"c5837"</definedName>
    <definedName name="IQ_HOME_DELIVERED_VALUE_GROWTH">"c5917"</definedName>
    <definedName name="IQ_HOME_DELIVERED_VALUE_JV">"c5840"</definedName>
    <definedName name="IQ_HOME_DELIVERED_VALUE_JV_GROWTH">"c5920"</definedName>
    <definedName name="IQ_HOME_DELIVERED_VALUE_JV_INC">"c5843"</definedName>
    <definedName name="IQ_HOME_DELIVERED_VALUE_JV_INC_GROWTH">"c5923"</definedName>
    <definedName name="IQ_HOME_EQUITY_LOC_NET_CHARGE_OFFS_FDIC">"c6644"</definedName>
    <definedName name="IQ_HOME_EQUITY_LOC_TOTAL_CHARGE_OFFS_FDIC">"c6606"</definedName>
    <definedName name="IQ_HOME_EQUITY_LOC_TOTAL_RECOVERIES_FDIC">"c6625"</definedName>
    <definedName name="IQ_HOME_FINISHED_HOMES_CIP">"c5865"</definedName>
    <definedName name="IQ_HOME_FIRSTLIEN_MORT_ORIGINATED">"c5905"</definedName>
    <definedName name="IQ_HOME_FIRSTLIEN_MORT_ORIGINATED_VOL">"c5908"</definedName>
    <definedName name="IQ_HOME_HUC">"c5822"</definedName>
    <definedName name="IQ_HOME_HUC_JV">"c5823"</definedName>
    <definedName name="IQ_HOME_HUC_JV_INC">"c5824"</definedName>
    <definedName name="IQ_HOME_INV_NOT_OWNED">"c5868"</definedName>
    <definedName name="IQ_HOME_LAND_DEVELOPMENT">"c5866"</definedName>
    <definedName name="IQ_HOME_LAND_FUTURE_DEVELOPMENT">"c5867"</definedName>
    <definedName name="IQ_HOME_LOAN_APPLICATIONS">"c5910"</definedName>
    <definedName name="IQ_HOME_LOANS_SOLD_COUNT">"c5912"</definedName>
    <definedName name="IQ_HOME_LOANS_SOLD_VALUE">"c5913"</definedName>
    <definedName name="IQ_HOME_LOTS_CONTROLLED">"c5831"</definedName>
    <definedName name="IQ_HOME_LOTS_FINISHED">"c5827"</definedName>
    <definedName name="IQ_HOME_LOTS_HELD_SALE">"c5830"</definedName>
    <definedName name="IQ_HOME_LOTS_JV">"c5833"</definedName>
    <definedName name="IQ_HOME_LOTS_JV_INC">"c5834"</definedName>
    <definedName name="IQ_HOME_LOTS_OTHER">"c5832"</definedName>
    <definedName name="IQ_HOME_LOTS_OWNED">"c5828"</definedName>
    <definedName name="IQ_HOME_LOTS_UNDER_DEVELOPMENT">"c5826"</definedName>
    <definedName name="IQ_HOME_LOTS_UNDER_OPTION">"c5829"</definedName>
    <definedName name="IQ_HOME_LOTS_UNDEVELOPED">"c5825"</definedName>
    <definedName name="IQ_HOME_MORT_CAPTURE_RATE">"c5906"</definedName>
    <definedName name="IQ_HOME_MORT_ORIGINATED">"c5907"</definedName>
    <definedName name="IQ_HOME_OBLIGATIONS_INV_NOT_OWNED">"c5914"</definedName>
    <definedName name="IQ_HOME_ORDERS">"c5853"</definedName>
    <definedName name="IQ_HOME_ORDERS_AVG_PRICE">"c5854"</definedName>
    <definedName name="IQ_HOME_ORDERS_AVG_PRICE_GROWTH">"c5934"</definedName>
    <definedName name="IQ_HOME_ORDERS_AVG_PRICE_JV">"c5857"</definedName>
    <definedName name="IQ_HOME_ORDERS_AVG_PRICE_JV_GROWTH">"c5937"</definedName>
    <definedName name="IQ_HOME_ORDERS_AVG_PRICE_JV_INC">"c5860"</definedName>
    <definedName name="IQ_HOME_ORDERS_AVG_PRICE_JV_INC_GROWTH">"c5940"</definedName>
    <definedName name="IQ_HOME_ORDERS_GROWTH">"c5933"</definedName>
    <definedName name="IQ_HOME_ORDERS_JV">"c5856"</definedName>
    <definedName name="IQ_HOME_ORDERS_JV_GROWTH">"c5936"</definedName>
    <definedName name="IQ_HOME_ORDERS_JV_INC">"c5859"</definedName>
    <definedName name="IQ_HOME_ORDERS_JV_INC_GROWTH">"c5939"</definedName>
    <definedName name="IQ_HOME_ORDERS_VALUE">"c5855"</definedName>
    <definedName name="IQ_HOME_ORDERS_VALUE_GROWTH">"c5935"</definedName>
    <definedName name="IQ_HOME_ORDERS_VALUE_JV">"c5858"</definedName>
    <definedName name="IQ_HOME_ORDERS_VALUE_JV_GROWTH">"c5938"</definedName>
    <definedName name="IQ_HOME_ORDERS_VALUE_JV_INC">"c5861"</definedName>
    <definedName name="IQ_HOME_ORDERS_VALUE_JV_INC_GROWTH">"c5941"</definedName>
    <definedName name="IQ_HOME_ORIGINATION_TOTAL">"c5909"</definedName>
    <definedName name="IQ_HOME_PRETAX_INC_CONSTRUCTION_SVCS">"c5890"</definedName>
    <definedName name="IQ_HOME_PRETAX_INC_ELIMINATIONS_OTHER">"c5891"</definedName>
    <definedName name="IQ_HOME_PRETAX_INC_FINANCIAL_SVCS">"c5889"</definedName>
    <definedName name="IQ_HOME_PRETAX_INC_HOUSING">"c5885"</definedName>
    <definedName name="IQ_HOME_PRETAX_INC_LAND_LOT">"c5886"</definedName>
    <definedName name="IQ_HOME_PRETAX_INC_OTHER_HOMEBUILDING">"c5887"</definedName>
    <definedName name="IQ_HOME_PRETAX_INC_TOTAL">"c5892"</definedName>
    <definedName name="IQ_HOME_PRETAX_INC_TOTAL_HOMEBUILDING">"c5888"</definedName>
    <definedName name="IQ_HOME_PURCH_OBLIGATION_1YR">"c5898"</definedName>
    <definedName name="IQ_HOME_PURCH_OBLIGATION_2YR">"c5899"</definedName>
    <definedName name="IQ_HOME_PURCH_OBLIGATION_3YR">"c5900"</definedName>
    <definedName name="IQ_HOME_PURCH_OBLIGATION_4YR">"c5901"</definedName>
    <definedName name="IQ_HOME_PURCH_OBLIGATION_5YR">"c5902"</definedName>
    <definedName name="IQ_HOME_PURCH_OBLIGATION_AFTER5">"c5903"</definedName>
    <definedName name="IQ_HOME_PURCH_OBLIGATION_TOTAL">"c5904"</definedName>
    <definedName name="IQ_HOME_REV_CONSTRUCTION_SERVICES">"c5874"</definedName>
    <definedName name="IQ_HOME_REV_ELIMINATIONS_OTHER">"c5875"</definedName>
    <definedName name="IQ_HOME_REV_FINANCIAL_SERVICES">"c5873"</definedName>
    <definedName name="IQ_HOME_REV_HOUSING">"c5872"</definedName>
    <definedName name="IQ_HOME_REV_LAND_LOT">"c5870"</definedName>
    <definedName name="IQ_HOME_REV_OTHER_HOMEBUILDING">"c5871"</definedName>
    <definedName name="IQ_HOME_REV_TOTAL">"c5876"</definedName>
    <definedName name="IQ_HOME_TOTAL_INV">"c5869"</definedName>
    <definedName name="IQ_HOME_WARRANTY_RES_BEG">"c5893"</definedName>
    <definedName name="IQ_HOME_WARRANTY_RES_END">"c5897"</definedName>
    <definedName name="IQ_HOME_WARRANTY_RES_ISS">"c5894"</definedName>
    <definedName name="IQ_HOME_WARRANTY_RES_OTHER">"c5896"</definedName>
    <definedName name="IQ_HOME_WARRANTY_RES_PAY">"c5895"</definedName>
    <definedName name="IQ_HOMEOWNERS_WRITTEN">"c546"</definedName>
    <definedName name="IQ_HOUSING_COMPLETIONS_SINGLE_FAM_APR_FC_UNUSED_UNUSED_UNUSED">"c8422"</definedName>
    <definedName name="IQ_HOUSING_COMPLETIONS_SINGLE_FAM_APR_UNUSED_UNUSED_UNUSED">"c7542"</definedName>
    <definedName name="IQ_HOUSING_COMPLETIONS_SINGLE_FAM_FC_UNUSED_UNUSED_UNUSED">"c7762"</definedName>
    <definedName name="IQ_HOUSING_COMPLETIONS_SINGLE_FAM_POP_FC_UNUSED_UNUSED_UNUSED">"c7982"</definedName>
    <definedName name="IQ_HOUSING_COMPLETIONS_SINGLE_FAM_POP_UNUSED_UNUSED_UNUSED">"c7102"</definedName>
    <definedName name="IQ_HOUSING_COMPLETIONS_SINGLE_FAM_UNUSED_UNUSED_UNUSED">"c6882"</definedName>
    <definedName name="IQ_HOUSING_COMPLETIONS_SINGLE_FAM_YOY_FC_UNUSED_UNUSED_UNUSED">"c8202"</definedName>
    <definedName name="IQ_HOUSING_COMPLETIONS_SINGLE_FAM_YOY_UNUSED_UNUSED_UNUSED">"c7322"</definedName>
    <definedName name="IQ_IMPAIR_OIL">"c547"</definedName>
    <definedName name="IQ_IMPAIRMENT_GW">"c548"</definedName>
    <definedName name="IQ_IMPORTS_GOODS_REAL_SAAR_APR_FC_UNUSED_UNUSED_UNUSED">"c8523"</definedName>
    <definedName name="IQ_IMPORTS_GOODS_REAL_SAAR_APR_UNUSED_UNUSED_UNUSED">"c7643"</definedName>
    <definedName name="IQ_IMPORTS_GOODS_REAL_SAAR_FC_UNUSED_UNUSED_UNUSED">"c7863"</definedName>
    <definedName name="IQ_IMPORTS_GOODS_REAL_SAAR_POP_FC_UNUSED_UNUSED_UNUSED">"c8083"</definedName>
    <definedName name="IQ_IMPORTS_GOODS_REAL_SAAR_POP_UNUSED_UNUSED_UNUSED">"c7203"</definedName>
    <definedName name="IQ_IMPORTS_GOODS_REAL_SAAR_UNUSED_UNUSED_UNUSED">"c6983"</definedName>
    <definedName name="IQ_IMPORTS_GOODS_REAL_SAAR_YOY_FC_UNUSED_UNUSED_UNUSED">"c8303"</definedName>
    <definedName name="IQ_IMPORTS_GOODS_REAL_SAAR_YOY_UNUSED_UNUSED_UNUSED">"c7423"</definedName>
    <definedName name="IQ_IMPORTS_GOODS_SERVICES_APR_FC_UNUSED_UNUSED_UNUSED">"c8429"</definedName>
    <definedName name="IQ_IMPORTS_GOODS_SERVICES_APR_UNUSED_UNUSED_UNUSED">"c7549"</definedName>
    <definedName name="IQ_IMPORTS_GOODS_SERVICES_FC_UNUSED_UNUSED_UNUSED">"c7769"</definedName>
    <definedName name="IQ_IMPORTS_GOODS_SERVICES_POP_FC_UNUSED_UNUSED_UNUSED">"c7989"</definedName>
    <definedName name="IQ_IMPORTS_GOODS_SERVICES_POP_UNUSED_UNUSED_UNUSED">"c7109"</definedName>
    <definedName name="IQ_IMPORTS_GOODS_SERVICES_REAL_SAAR_APR_FC_UNUSED_UNUSED_UNUSED">"c8524"</definedName>
    <definedName name="IQ_IMPORTS_GOODS_SERVICES_REAL_SAAR_APR_UNUSED_UNUSED_UNUSED">"c7644"</definedName>
    <definedName name="IQ_IMPORTS_GOODS_SERVICES_REAL_SAAR_FC_UNUSED_UNUSED_UNUSED">"c7864"</definedName>
    <definedName name="IQ_IMPORTS_GOODS_SERVICES_REAL_SAAR_POP_FC_UNUSED_UNUSED_UNUSED">"c8084"</definedName>
    <definedName name="IQ_IMPORTS_GOODS_SERVICES_REAL_SAAR_POP_UNUSED_UNUSED_UNUSED">"c7204"</definedName>
    <definedName name="IQ_IMPORTS_GOODS_SERVICES_REAL_SAAR_UNUSED_UNUSED_UNUSED">"c6984"</definedName>
    <definedName name="IQ_IMPORTS_GOODS_SERVICES_REAL_SAAR_YOY_FC_UNUSED_UNUSED_UNUSED">"c8304"</definedName>
    <definedName name="IQ_IMPORTS_GOODS_SERVICES_REAL_SAAR_YOY_UNUSED_UNUSED_UNUSED">"c7424"</definedName>
    <definedName name="IQ_IMPORTS_GOODS_SERVICES_UNUSED_UNUSED_UNUSED">"c6889"</definedName>
    <definedName name="IQ_IMPORTS_GOODS_SERVICES_YOY_FC_UNUSED_UNUSED_UNUSED">"c8209"</definedName>
    <definedName name="IQ_IMPORTS_GOODS_SERVICES_YOY_UNUSED_UNUSED_UNUSED">"c7329"</definedName>
    <definedName name="IQ_IMPUT_OPER_LEASE_DEPR">"c2987"</definedName>
    <definedName name="IQ_IMPUT_OPER_LEASE_INT_EXP">"c2986"</definedName>
    <definedName name="IQ_INC_AFTER_TAX">"c1598"</definedName>
    <definedName name="IQ_INC_AVAIL_EXCL">"c1395"</definedName>
    <definedName name="IQ_INC_AVAIL_INCL">"c1396"</definedName>
    <definedName name="IQ_INC_BEFORE_TAX">"c1375"</definedName>
    <definedName name="IQ_INC_EQUITY">"c549"</definedName>
    <definedName name="IQ_INC_EQUITY_BR">"c550"</definedName>
    <definedName name="IQ_INC_EQUITY_CF">"c551"</definedName>
    <definedName name="IQ_INC_EQUITY_FIN">"c552"</definedName>
    <definedName name="IQ_INC_EQUITY_INS">"c553"</definedName>
    <definedName name="IQ_INC_EQUITY_RE">"c6222"</definedName>
    <definedName name="IQ_INC_EQUITY_REC_BNK">"c554"</definedName>
    <definedName name="IQ_INC_EQUITY_REIT">"c555"</definedName>
    <definedName name="IQ_INC_EQUITY_REV_BNK">"c556"</definedName>
    <definedName name="IQ_INC_EQUITY_UTI">"c557"</definedName>
    <definedName name="IQ_INC_REAL_ESTATE_REC">"c558"</definedName>
    <definedName name="IQ_INC_REAL_ESTATE_REV">"c559"</definedName>
    <definedName name="IQ_INC_TAX">"c560"</definedName>
    <definedName name="IQ_INC_TAX_EXCL">"c1599"</definedName>
    <definedName name="IQ_INC_TAX_PAY_CURRENT">"c561"</definedName>
    <definedName name="IQ_INC_TRADE_ACT">"c562"</definedName>
    <definedName name="IQ_INCIDENTAL_CHANGES_BUSINESS_COMBINATIONS_FDIC">"c6502"</definedName>
    <definedName name="IQ_INCOME_BEFORE_EXTRA_FDIC">"c6585"</definedName>
    <definedName name="IQ_INCOME_EARNED_FDIC">"c6359"</definedName>
    <definedName name="IQ_INCOME_TAXES_FDIC">"c6582"</definedName>
    <definedName name="IQ_INDIVIDUALS_CHARGE_OFFS_FDIC">"c6599"</definedName>
    <definedName name="IQ_INDIVIDUALS_LOANS_FDIC">"c6318"</definedName>
    <definedName name="IQ_INDIVIDUALS_NET_CHARGE_OFFS_FDIC">"c6637"</definedName>
    <definedName name="IQ_INDIVIDUALS_OTHER_LOANS_FDIC">"c6321"</definedName>
    <definedName name="IQ_INDIVIDUALS_PARTNERSHIPS_CORP_DEPOSITS_FOREIGN_FDIC">"c6479"</definedName>
    <definedName name="IQ_INDIVIDUALS_PARTNERSHIPS_CORP_NONTRANSACTION_ACCOUNTS_FDIC">"c6545"</definedName>
    <definedName name="IQ_INDIVIDUALS_PARTNERSHIPS_CORP_TOTAL_DEPOSITS_FDIC">"c6471"</definedName>
    <definedName name="IQ_INDIVIDUALS_PARTNERSHIPS_CORP_TRANSACTION_ACCOUNTS_FDIC">"c6537"</definedName>
    <definedName name="IQ_INDIVIDUALS_RECOVERIES_FDIC">"c6618"</definedName>
    <definedName name="IQ_INDUSTRY">"c3601"</definedName>
    <definedName name="IQ_INDUSTRY_GROUP">"c3602"</definedName>
    <definedName name="IQ_INDUSTRY_SECTOR">"c3603"</definedName>
    <definedName name="IQ_INS_ANNUITY_LIAB">"c563"</definedName>
    <definedName name="IQ_INS_ANNUITY_REV">"c2788"</definedName>
    <definedName name="IQ_INS_DIV_EXP">"c564"</definedName>
    <definedName name="IQ_INS_DIV_REV">"c565"</definedName>
    <definedName name="IQ_INS_IN_FORCE">"c566"</definedName>
    <definedName name="IQ_INS_LIAB">"c567"</definedName>
    <definedName name="IQ_INS_POLICY_EXP">"c568"</definedName>
    <definedName name="IQ_INS_REV">"c569"</definedName>
    <definedName name="IQ_INS_SETTLE">"c570"</definedName>
    <definedName name="IQ_INS_SETTLE_BNK">"c571"</definedName>
    <definedName name="IQ_INS_SETTLE_BR">"c572"</definedName>
    <definedName name="IQ_INS_SETTLE_FIN">"c573"</definedName>
    <definedName name="IQ_INS_SETTLE_INS">"c574"</definedName>
    <definedName name="IQ_INS_SETTLE_RE">"c6223"</definedName>
    <definedName name="IQ_INS_SETTLE_REIT">"c575"</definedName>
    <definedName name="IQ_INS_SETTLE_UTI">"c576"</definedName>
    <definedName name="IQ_INSIDER_3MTH_BOUGHT_PCT">"c1534"</definedName>
    <definedName name="IQ_INSIDER_3MTH_NET_PCT">"c1535"</definedName>
    <definedName name="IQ_INSIDER_3MTH_SOLD_PCT">"c1533"</definedName>
    <definedName name="IQ_INSIDER_6MTH_BOUGHT_PCT">"c1537"</definedName>
    <definedName name="IQ_INSIDER_6MTH_NET_PCT">"c1538"</definedName>
    <definedName name="IQ_INSIDER_6MTH_SOLD_PCT">"c1536"</definedName>
    <definedName name="IQ_INSIDER_LOANS_FDIC">"c6365"</definedName>
    <definedName name="IQ_INSIDER_OVER_TOTAL">"c1581"</definedName>
    <definedName name="IQ_INSIDER_OWNER">"c577"</definedName>
    <definedName name="IQ_INSIDER_PERCENT">"c578"</definedName>
    <definedName name="IQ_INSIDER_SHARES">"c579"</definedName>
    <definedName name="IQ_INSTITUTIONAL_OVER_TOTAL">"c1580"</definedName>
    <definedName name="IQ_INSTITUTIONAL_OWNER">"c580"</definedName>
    <definedName name="IQ_INSTITUTIONAL_PERCENT">"c581"</definedName>
    <definedName name="IQ_INSTITUTIONAL_SHARES">"c582"</definedName>
    <definedName name="IQ_INSTITUTIONS_EARNINGS_GAINS_FDIC">"c6723"</definedName>
    <definedName name="IQ_INSUR_RECEIV">"c1600"</definedName>
    <definedName name="IQ_INSURANCE_COMMISSION_FEES_FDIC">"c6670"</definedName>
    <definedName name="IQ_INSURANCE_UNDERWRITING_INCOME_FDIC">"c6671"</definedName>
    <definedName name="IQ_INT_BORROW">"c583"</definedName>
    <definedName name="IQ_INT_DEMAND_NOTES_FDIC">"c6567"</definedName>
    <definedName name="IQ_INT_DEPOSITS">"c584"</definedName>
    <definedName name="IQ_INT_DIV_INC">"c585"</definedName>
    <definedName name="IQ_INT_DOMESTIC_DEPOSITS_FDIC">"c6564"</definedName>
    <definedName name="IQ_INT_EXP_BR">"c586"</definedName>
    <definedName name="IQ_INT_EXP_COVERAGE">"c587"</definedName>
    <definedName name="IQ_INT_EXP_FIN">"c588"</definedName>
    <definedName name="IQ_INT_EXP_INCL_CAP">"c2988"</definedName>
    <definedName name="IQ_INT_EXP_INS">"c589"</definedName>
    <definedName name="IQ_INT_EXP_LTD">"c2086"</definedName>
    <definedName name="IQ_INT_EXP_RE">"c6224"</definedName>
    <definedName name="IQ_INT_EXP_REIT">"c590"</definedName>
    <definedName name="IQ_INT_EXP_TOTAL">"c591"</definedName>
    <definedName name="IQ_INT_EXP_TOTAL_FDIC">"c6569"</definedName>
    <definedName name="IQ_INT_EXP_UTI">"c592"</definedName>
    <definedName name="IQ_INT_FED_FUNDS_FDIC">"c6566"</definedName>
    <definedName name="IQ_INT_FOREIGN_DEPOSITS_FDIC">"c6565"</definedName>
    <definedName name="IQ_INT_INC_BR">"c593"</definedName>
    <definedName name="IQ_INT_INC_DEPOSITORY_INST_FDIC">"c6558"</definedName>
    <definedName name="IQ_INT_INC_DOM_LOANS_FDIC">"c6555"</definedName>
    <definedName name="IQ_INT_INC_FED_FUNDS_FDIC">"c6561"</definedName>
    <definedName name="IQ_INT_INC_FIN">"c594"</definedName>
    <definedName name="IQ_INT_INC_FOREIGN_LOANS_FDIC">"c6556"</definedName>
    <definedName name="IQ_INT_INC_INVEST">"c595"</definedName>
    <definedName name="IQ_INT_INC_LEASE_RECEIVABLES_FDIC">"c6557"</definedName>
    <definedName name="IQ_INT_INC_LOANS">"c596"</definedName>
    <definedName name="IQ_INT_INC_OTHER_FDIC">"c6562"</definedName>
    <definedName name="IQ_INT_INC_RE">"c6225"</definedName>
    <definedName name="IQ_INT_INC_REIT">"c597"</definedName>
    <definedName name="IQ_INT_INC_SECURITIES_FDIC">"c6559"</definedName>
    <definedName name="IQ_INT_INC_TOTAL">"c598"</definedName>
    <definedName name="IQ_INT_INC_TOTAL_FDIC">"c6563"</definedName>
    <definedName name="IQ_INT_INC_TRADING_ACCOUNTS_FDIC">"c6560"</definedName>
    <definedName name="IQ_INT_INC_UTI">"c599"</definedName>
    <definedName name="IQ_INT_INV_INC">"c600"</definedName>
    <definedName name="IQ_INT_INV_INC_RE">"c6226"</definedName>
    <definedName name="IQ_INT_INV_INC_REIT">"c601"</definedName>
    <definedName name="IQ_INT_INV_INC_UTI">"c602"</definedName>
    <definedName name="IQ_INT_ON_BORROWING_COVERAGE">"c603"</definedName>
    <definedName name="IQ_INT_RATE_SPREAD">"c604"</definedName>
    <definedName name="IQ_INT_SUB_NOTES_FDIC">"c6568"</definedName>
    <definedName name="IQ_INTANGIBLES_NET">"c1407"</definedName>
    <definedName name="IQ_INTEREST_BEARING_BALANCES_FDIC">"c6371"</definedName>
    <definedName name="IQ_INTEREST_BEARING_DEPOSITS_DOMESTIC_FDIC">"c6478"</definedName>
    <definedName name="IQ_INTEREST_BEARING_DEPOSITS_FDIC">"c6373"</definedName>
    <definedName name="IQ_INTEREST_BEARING_DEPOSITS_FOREIGN_FDIC">"c6485"</definedName>
    <definedName name="IQ_INTEREST_CASH_DEPOSITS">"c2255"</definedName>
    <definedName name="IQ_INTEREST_EXP">"c618"</definedName>
    <definedName name="IQ_INTEREST_EXP_NET">"c1450"</definedName>
    <definedName name="IQ_INTEREST_EXP_NON">"c1383"</definedName>
    <definedName name="IQ_INTEREST_EXP_SUPPL">"c1460"</definedName>
    <definedName name="IQ_INTEREST_INC">"c1393"</definedName>
    <definedName name="IQ_INTEREST_INC_NON">"c1384"</definedName>
    <definedName name="IQ_INTEREST_INVEST_INC">"c619"</definedName>
    <definedName name="IQ_INTEREST_RATE_CONTRACTS_FDIC">"c6512"</definedName>
    <definedName name="IQ_INTEREST_RATE_EXPOSURES_FDIC">"c6662"</definedName>
    <definedName name="IQ_INV_10YR_ANN_CAGR">"c6164"</definedName>
    <definedName name="IQ_INV_10YR_ANN_GROWTH">"c1930"</definedName>
    <definedName name="IQ_INV_1YR_ANN_GROWTH">"c1925"</definedName>
    <definedName name="IQ_INV_2YR_ANN_CAGR">"c6160"</definedName>
    <definedName name="IQ_INV_2YR_ANN_GROWTH">"c1926"</definedName>
    <definedName name="IQ_INV_3YR_ANN_CAGR">"c6161"</definedName>
    <definedName name="IQ_INV_3YR_ANN_GROWTH">"c1927"</definedName>
    <definedName name="IQ_INV_5YR_ANN_CAGR">"c6162"</definedName>
    <definedName name="IQ_INV_5YR_ANN_GROWTH">"c1928"</definedName>
    <definedName name="IQ_INV_7YR_ANN_CAGR">"c6163"</definedName>
    <definedName name="IQ_INV_7YR_ANN_GROWTH">"c1929"</definedName>
    <definedName name="IQ_INV_BANKING_FEE">"c620"</definedName>
    <definedName name="IQ_INV_METHOD">"c621"</definedName>
    <definedName name="IQ_INVENTORY">"c622"</definedName>
    <definedName name="IQ_INVENTORY_TURNS">"c623"</definedName>
    <definedName name="IQ_INVENTORY_UTI">"c624"</definedName>
    <definedName name="IQ_INVEST_DEBT">"c625"</definedName>
    <definedName name="IQ_INVEST_EQUITY_PREF">"c626"</definedName>
    <definedName name="IQ_INVEST_FHLB">"c627"</definedName>
    <definedName name="IQ_INVEST_GOV_SECURITY">"c5510"</definedName>
    <definedName name="IQ_INVEST_LOANS_CF">"c628"</definedName>
    <definedName name="IQ_INVEST_LOANS_CF_BNK">"c629"</definedName>
    <definedName name="IQ_INVEST_LOANS_CF_BR">"c630"</definedName>
    <definedName name="IQ_INVEST_LOANS_CF_FIN">"c631"</definedName>
    <definedName name="IQ_INVEST_LOANS_CF_INS">"c632"</definedName>
    <definedName name="IQ_INVEST_LOANS_CF_RE">"c6227"</definedName>
    <definedName name="IQ_INVEST_LOANS_CF_REIT">"c633"</definedName>
    <definedName name="IQ_INVEST_LOANS_CF_UTI">"c634"</definedName>
    <definedName name="IQ_INVEST_MUNI_SECURITY">"c5512"</definedName>
    <definedName name="IQ_INVEST_REAL_ESTATE">"c635"</definedName>
    <definedName name="IQ_INVEST_SECURITY">"c636"</definedName>
    <definedName name="IQ_INVEST_SECURITY_CF">"c637"</definedName>
    <definedName name="IQ_INVEST_SECURITY_CF_BNK">"c638"</definedName>
    <definedName name="IQ_INVEST_SECURITY_CF_BR">"c639"</definedName>
    <definedName name="IQ_INVEST_SECURITY_CF_FIN">"c640"</definedName>
    <definedName name="IQ_INVEST_SECURITY_CF_INS">"c641"</definedName>
    <definedName name="IQ_INVEST_SECURITY_CF_RE">"c6228"</definedName>
    <definedName name="IQ_INVEST_SECURITY_CF_REIT">"c642"</definedName>
    <definedName name="IQ_INVEST_SECURITY_CF_UTI">"c643"</definedName>
    <definedName name="IQ_INVEST_SECURITY_SUPPL">"c5511"</definedName>
    <definedName name="IQ_INVESTMENT_BANKING_OTHER_FEES_FDIC">"c6666"</definedName>
    <definedName name="IQ_IPRD">"c644"</definedName>
    <definedName name="IQ_IRA_KEOGH_ACCOUNTS_FDIC">"c6496"</definedName>
    <definedName name="IQ_ISM_SERVICES_APR_FC_UNUSED_UNUSED_UNUSED">"c8443"</definedName>
    <definedName name="IQ_ISM_SERVICES_APR_UNUSED_UNUSED_UNUSED">"c7563"</definedName>
    <definedName name="IQ_ISM_SERVICES_FC_UNUSED_UNUSED_UNUSED">"c7783"</definedName>
    <definedName name="IQ_ISM_SERVICES_POP_FC_UNUSED_UNUSED_UNUSED">"c8003"</definedName>
    <definedName name="IQ_ISM_SERVICES_POP_UNUSED_UNUSED_UNUSED">"c7123"</definedName>
    <definedName name="IQ_ISM_SERVICES_UNUSED_UNUSED_UNUSED">"c6903"</definedName>
    <definedName name="IQ_ISM_SERVICES_YOY_FC_UNUSED_UNUSED_UNUSED">"c8223"</definedName>
    <definedName name="IQ_ISM_SERVICES_YOY_UNUSED_UNUSED_UNUSED">"c7343"</definedName>
    <definedName name="IQ_ISS_DEBT_NET">"c1391"</definedName>
    <definedName name="IQ_ISS_STOCK_NET">"c1601"</definedName>
    <definedName name="IQ_ISSUE_CURRENCY">"c2156"</definedName>
    <definedName name="IQ_ISSUE_NAME">"c2142"</definedName>
    <definedName name="IQ_ISSUED_GUARANTEED_US_FDIC">"c6404"</definedName>
    <definedName name="IQ_ISSUER">"c2143"</definedName>
    <definedName name="IQ_ISSUER_CIQID">"c2258"</definedName>
    <definedName name="IQ_ISSUER_PARENT">"c2144"</definedName>
    <definedName name="IQ_ISSUER_PARENT_CIQID">"c2260"</definedName>
    <definedName name="IQ_ISSUER_PARENT_TICKER">"c2259"</definedName>
    <definedName name="IQ_ISSUER_TICKER">"c2252"</definedName>
    <definedName name="IQ_JR_SUB_DEBT">"c2534"</definedName>
    <definedName name="IQ_JR_SUB_DEBT_EBITDA">"c2560"</definedName>
    <definedName name="IQ_JR_SUB_DEBT_EBITDA_CAPEX">"c2561"</definedName>
    <definedName name="IQ_JR_SUB_DEBT_PCT">"c2535"</definedName>
    <definedName name="IQ_LAND">"c645"</definedName>
    <definedName name="IQ_LAST_PMT_DATE">"c2188"</definedName>
    <definedName name="IQ_LAST_SPLIT_DATE">"c2095"</definedName>
    <definedName name="IQ_LAST_SPLIT_FACTOR">"c2093"</definedName>
    <definedName name="IQ_LASTPRICINGDATE">"c3051"</definedName>
    <definedName name="IQ_LASTSALEPRICE">"c646"</definedName>
    <definedName name="IQ_LASTSALEPRICE_DATE">"c2109"</definedName>
    <definedName name="IQ_LATEST">"1"</definedName>
    <definedName name="IQ_LATESTK">1000</definedName>
    <definedName name="IQ_LATESTKFR">"100"</definedName>
    <definedName name="IQ_LATESTQ">500</definedName>
    <definedName name="IQ_LATESTQFR">"50"</definedName>
    <definedName name="IQ_LEASE_FINANCING_RECEIVABLES_CHARGE_OFFS_FDIC">"c6602"</definedName>
    <definedName name="IQ_LEASE_FINANCING_RECEIVABLES_FDIC">"c6433"</definedName>
    <definedName name="IQ_LEASE_FINANCING_RECEIVABLES_NET_CHARGE_OFFS_FDIC">"c6640"</definedName>
    <definedName name="IQ_LEASE_FINANCING_RECEIVABLES_RECOVERIES_FDIC">"c6621"</definedName>
    <definedName name="IQ_LEASE_FINANCING_RECEIVABLES_TOTAL_LOANS_FOREIGN_FDIC">"c6449"</definedName>
    <definedName name="IQ_LEGAL_SETTLE">"c647"</definedName>
    <definedName name="IQ_LEGAL_SETTLE_BNK">"c648"</definedName>
    <definedName name="IQ_LEGAL_SETTLE_BR">"c649"</definedName>
    <definedName name="IQ_LEGAL_SETTLE_FIN">"c650"</definedName>
    <definedName name="IQ_LEGAL_SETTLE_INS">"c651"</definedName>
    <definedName name="IQ_LEGAL_SETTLE_RE">"c6229"</definedName>
    <definedName name="IQ_LEGAL_SETTLE_REIT">"c652"</definedName>
    <definedName name="IQ_LEGAL_SETTLE_UTI">"c653"</definedName>
    <definedName name="IQ_LEVERAGE_RATIO">"c654"</definedName>
    <definedName name="IQ_LEVERED_FCF">"c1907"</definedName>
    <definedName name="IQ_LFCF_10YR_ANN_CAGR">"c6174"</definedName>
    <definedName name="IQ_LFCF_10YR_ANN_GROWTH">"c1942"</definedName>
    <definedName name="IQ_LFCF_1YR_ANN_GROWTH">"c1937"</definedName>
    <definedName name="IQ_LFCF_2YR_ANN_CAGR">"c6170"</definedName>
    <definedName name="IQ_LFCF_2YR_ANN_GROWTH">"c1938"</definedName>
    <definedName name="IQ_LFCF_3YR_ANN_CAGR">"c6171"</definedName>
    <definedName name="IQ_LFCF_3YR_ANN_GROWTH">"c1939"</definedName>
    <definedName name="IQ_LFCF_5YR_ANN_CAGR">"c6172"</definedName>
    <definedName name="IQ_LFCF_5YR_ANN_GROWTH">"c1940"</definedName>
    <definedName name="IQ_LFCF_7YR_ANN_CAGR">"c6173"</definedName>
    <definedName name="IQ_LFCF_7YR_ANN_GROWTH">"c1941"</definedName>
    <definedName name="IQ_LFCF_MARGIN">"c1961"</definedName>
    <definedName name="IQ_LH_STATUTORY_SURPLUS">"c2771"</definedName>
    <definedName name="IQ_LICENSED_POPS">"c2123"</definedName>
    <definedName name="IQ_LIFE_EARNED">"c2739"</definedName>
    <definedName name="IQ_LIFE_INSURANCE_ASSETS_FDIC">"c6372"</definedName>
    <definedName name="IQ_LIFOR">"c655"</definedName>
    <definedName name="IQ_LL">"c656"</definedName>
    <definedName name="IQ_LOAN_COMMITMENTS_REVOLVING_FDIC">"c6524"</definedName>
    <definedName name="IQ_LOAN_LEASE_RECEIV">"c657"</definedName>
    <definedName name="IQ_LOAN_LOSS">"c1386"</definedName>
    <definedName name="IQ_LOAN_LOSS_ALLOW_FDIC">"c6326"</definedName>
    <definedName name="IQ_LOAN_LOSS_ALLOWANCE_NONCURRENT_LOANS_FDIC">"c6740"</definedName>
    <definedName name="IQ_LOAN_LOSSES_FDIC">"c6580"</definedName>
    <definedName name="IQ_LOAN_SERVICE_REV">"c658"</definedName>
    <definedName name="IQ_LOANS_AND_LEASES_HELD_FDIC">"c6367"</definedName>
    <definedName name="IQ_LOANS_CF">"c659"</definedName>
    <definedName name="IQ_LOANS_CF_BNK">"c660"</definedName>
    <definedName name="IQ_LOANS_CF_BR">"c661"</definedName>
    <definedName name="IQ_LOANS_CF_FIN">"c662"</definedName>
    <definedName name="IQ_LOANS_CF_INS">"c663"</definedName>
    <definedName name="IQ_LOANS_CF_RE">"c6230"</definedName>
    <definedName name="IQ_LOANS_CF_REIT">"c664"</definedName>
    <definedName name="IQ_LOANS_CF_UTI">"c665"</definedName>
    <definedName name="IQ_LOANS_DEPOSITORY_INSTITUTIONS_FDIC">"c6382"</definedName>
    <definedName name="IQ_LOANS_FOR_SALE">"c666"</definedName>
    <definedName name="IQ_LOANS_HELD_FOREIGN_FDIC">"c6315"</definedName>
    <definedName name="IQ_LOANS_LEASES_FOREIGN_FDIC">"c6383"</definedName>
    <definedName name="IQ_LOANS_LEASES_GROSS_FDIC">"c6323"</definedName>
    <definedName name="IQ_LOANS_LEASES_GROSS_FOREIGN_FDIC">"c6384"</definedName>
    <definedName name="IQ_LOANS_LEASES_NET_FDIC">"c6327"</definedName>
    <definedName name="IQ_LOANS_LEASES_NET_UNEARNED_FDIC">"c6325"</definedName>
    <definedName name="IQ_LOANS_NOT_SECURED_RE_FDIC">"c6381"</definedName>
    <definedName name="IQ_LOANS_PAST_DUE">"c667"</definedName>
    <definedName name="IQ_LOANS_RECEIV_CURRENT">"c668"</definedName>
    <definedName name="IQ_LOANS_RECEIV_LT">"c669"</definedName>
    <definedName name="IQ_LOANS_RECEIV_LT_UTI">"c670"</definedName>
    <definedName name="IQ_LOANS_SECURED_BY_RE_CHARGE_OFFS_FDIC">"c6588"</definedName>
    <definedName name="IQ_LOANS_SECURED_BY_RE_RECOVERIES_FDIC">"c6607"</definedName>
    <definedName name="IQ_LOANS_SECURED_NON_US_FDIC">"c6380"</definedName>
    <definedName name="IQ_LOANS_SECURED_RE_NET_CHARGE_OFFS_FDIC">"c6626"</definedName>
    <definedName name="IQ_LOANS_TO_DEPOSITORY_INSTITUTIONS_FOREIGN_FDIC">"c6453"</definedName>
    <definedName name="IQ_LOANS_TO_FOREIGN_GOVERNMENTS_FDIC">"c6448"</definedName>
    <definedName name="IQ_LOANS_TO_INDIVIDUALS_FOREIGN_FDIC">"c6452"</definedName>
    <definedName name="IQ_LONG_TERM_ASSETS_FDIC">"c6361"</definedName>
    <definedName name="IQ_LONG_TERM_DEBT">"c1387"</definedName>
    <definedName name="IQ_LONG_TERM_DEBT_OVER_TOTAL_CAP">"c1388"</definedName>
    <definedName name="IQ_LONG_TERM_GROWTH">"c671"</definedName>
    <definedName name="IQ_LONG_TERM_INV">"c1389"</definedName>
    <definedName name="IQ_LOSS_ALLOWANCE_LOANS_FDIC">"c6739"</definedName>
    <definedName name="IQ_LOSS_LOSS_EXP">"c672"</definedName>
    <definedName name="IQ_LOSS_TO_NET_EARNED">"c2751"</definedName>
    <definedName name="IQ_LOW_TARGET_PRICE">"c1652"</definedName>
    <definedName name="IQ_LOW_TARGET_PRICE_REUT">"c5318"</definedName>
    <definedName name="IQ_LOWPRICE">"c673"</definedName>
    <definedName name="IQ_LT_DEBT">"c674"</definedName>
    <definedName name="IQ_LT_DEBT_BNK">"c675"</definedName>
    <definedName name="IQ_LT_DEBT_BR">"c676"</definedName>
    <definedName name="IQ_LT_DEBT_CAPITAL">"c677"</definedName>
    <definedName name="IQ_LT_DEBT_CAPITAL_LEASES">"c2542"</definedName>
    <definedName name="IQ_LT_DEBT_CAPITAL_LEASES_PCT">"c2543"</definedName>
    <definedName name="IQ_LT_DEBT_EQUITY">"c678"</definedName>
    <definedName name="IQ_LT_DEBT_FIN">"c679"</definedName>
    <definedName name="IQ_LT_DEBT_INS">"c680"</definedName>
    <definedName name="IQ_LT_DEBT_ISSUED">"c681"</definedName>
    <definedName name="IQ_LT_DEBT_ISSUED_BNK">"c682"</definedName>
    <definedName name="IQ_LT_DEBT_ISSUED_BR">"c683"</definedName>
    <definedName name="IQ_LT_DEBT_ISSUED_FIN">"c684"</definedName>
    <definedName name="IQ_LT_DEBT_ISSUED_INS">"c685"</definedName>
    <definedName name="IQ_LT_DEBT_ISSUED_RE">"c6231"</definedName>
    <definedName name="IQ_LT_DEBT_ISSUED_REIT">"c686"</definedName>
    <definedName name="IQ_LT_DEBT_ISSUED_UTI">"c687"</definedName>
    <definedName name="IQ_LT_DEBT_RE">"c6232"</definedName>
    <definedName name="IQ_LT_DEBT_REIT">"c688"</definedName>
    <definedName name="IQ_LT_DEBT_REPAID">"c689"</definedName>
    <definedName name="IQ_LT_DEBT_REPAID_BNK">"c690"</definedName>
    <definedName name="IQ_LT_DEBT_REPAID_BR">"c691"</definedName>
    <definedName name="IQ_LT_DEBT_REPAID_FIN">"c692"</definedName>
    <definedName name="IQ_LT_DEBT_REPAID_INS">"c693"</definedName>
    <definedName name="IQ_LT_DEBT_REPAID_RE">"c6233"</definedName>
    <definedName name="IQ_LT_DEBT_REPAID_REIT">"c694"</definedName>
    <definedName name="IQ_LT_DEBT_REPAID_UTI">"c695"</definedName>
    <definedName name="IQ_LT_DEBT_UTI">"c696"</definedName>
    <definedName name="IQ_LT_INVEST">"c697"</definedName>
    <definedName name="IQ_LT_INVEST_BR">"c698"</definedName>
    <definedName name="IQ_LT_INVEST_FIN">"c699"</definedName>
    <definedName name="IQ_LT_INVEST_RE">"c6234"</definedName>
    <definedName name="IQ_LT_INVEST_REIT">"c700"</definedName>
    <definedName name="IQ_LT_INVEST_UTI">"c701"</definedName>
    <definedName name="IQ_LT_NOTE_RECEIV">"c1602"</definedName>
    <definedName name="IQ_LTD_DUE_AFTER_FIVE">"c704"</definedName>
    <definedName name="IQ_LTD_DUE_CY">"c705"</definedName>
    <definedName name="IQ_LTD_DUE_CY1">"c706"</definedName>
    <definedName name="IQ_LTD_DUE_CY2">"c707"</definedName>
    <definedName name="IQ_LTD_DUE_CY3">"c708"</definedName>
    <definedName name="IQ_LTD_DUE_CY4">"c709"</definedName>
    <definedName name="IQ_LTD_DUE_NEXT_FIVE">"c710"</definedName>
    <definedName name="IQ_LTM">2000</definedName>
    <definedName name="IQ_LTM_DATE">"IQ_LTM_DATE"</definedName>
    <definedName name="IQ_LTM_REVENUE_OVER_EMPLOYEES">"c1437"</definedName>
    <definedName name="IQ_LTMMONTH">120000</definedName>
    <definedName name="IQ_MACHINERY">"c711"</definedName>
    <definedName name="IQ_MAINT_CAPEX">"c2947"</definedName>
    <definedName name="IQ_MAINT_CAPEX_ACT_OR_EST">"c4458"</definedName>
    <definedName name="IQ_MAINT_CAPEX_EST">"c4457"</definedName>
    <definedName name="IQ_MAINT_CAPEX_GUIDANCE">"c4459"</definedName>
    <definedName name="IQ_MAINT_CAPEX_HIGH_EST">"c4460"</definedName>
    <definedName name="IQ_MAINT_CAPEX_HIGH_GUIDANCE">"c4197"</definedName>
    <definedName name="IQ_MAINT_CAPEX_LOW_EST">"c4461"</definedName>
    <definedName name="IQ_MAINT_CAPEX_LOW_GUIDANCE">"c4237"</definedName>
    <definedName name="IQ_MAINT_CAPEX_MEDIAN_EST">"c4462"</definedName>
    <definedName name="IQ_MAINT_CAPEX_NUM_EST">"c4463"</definedName>
    <definedName name="IQ_MAINT_CAPEX_STDDEV_EST">"c4464"</definedName>
    <definedName name="IQ_MAINT_REPAIR">"c2087"</definedName>
    <definedName name="IQ_MAKE_WHOLE_END_DATE">"c2493"</definedName>
    <definedName name="IQ_MAKE_WHOLE_SPREAD">"c2494"</definedName>
    <definedName name="IQ_MAKE_WHOLE_START_DATE">"c2492"</definedName>
    <definedName name="IQ_MARKET_CAP_LFCF">"c2209"</definedName>
    <definedName name="IQ_MARKETCAP">"c712"</definedName>
    <definedName name="IQ_MARKETING">"c2239"</definedName>
    <definedName name="IQ_MATURITY_DATE">"c2146"</definedName>
    <definedName name="IQ_MATURITY_ONE_YEAR_LESS_FDIC">"c6425"</definedName>
    <definedName name="IQ_MC_RATIO">"c2783"</definedName>
    <definedName name="IQ_MC_STATUTORY_SURPLUS">"c2772"</definedName>
    <definedName name="IQ_MEDIAN_NEW_HOME_SALES_APR_FC_UNUSED_UNUSED_UNUSED">"c8460"</definedName>
    <definedName name="IQ_MEDIAN_NEW_HOME_SALES_APR_UNUSED_UNUSED_UNUSED">"c7580"</definedName>
    <definedName name="IQ_MEDIAN_NEW_HOME_SALES_FC_UNUSED_UNUSED_UNUSED">"c7800"</definedName>
    <definedName name="IQ_MEDIAN_NEW_HOME_SALES_POP_FC_UNUSED_UNUSED_UNUSED">"c8020"</definedName>
    <definedName name="IQ_MEDIAN_NEW_HOME_SALES_POP_UNUSED_UNUSED_UNUSED">"c7140"</definedName>
    <definedName name="IQ_MEDIAN_NEW_HOME_SALES_UNUSED_UNUSED_UNUSED">"c6920"</definedName>
    <definedName name="IQ_MEDIAN_NEW_HOME_SALES_YOY_FC_UNUSED_UNUSED_UNUSED">"c8240"</definedName>
    <definedName name="IQ_MEDIAN_NEW_HOME_SALES_YOY_UNUSED_UNUSED_UNUSED">"c7360"</definedName>
    <definedName name="IQ_MEDIAN_TARGET_PRICE">"c1650"</definedName>
    <definedName name="IQ_MEDIAN_TARGET_PRICE_REUT">"c5316"</definedName>
    <definedName name="IQ_MERGER">"c713"</definedName>
    <definedName name="IQ_MERGER_BNK">"c714"</definedName>
    <definedName name="IQ_MERGER_BR">"c715"</definedName>
    <definedName name="IQ_MERGER_FIN">"c716"</definedName>
    <definedName name="IQ_MERGER_INS">"c717"</definedName>
    <definedName name="IQ_MERGER_RE">"c6235"</definedName>
    <definedName name="IQ_MERGER_REIT">"c718"</definedName>
    <definedName name="IQ_MERGER_RESTRUCTURE">"c719"</definedName>
    <definedName name="IQ_MERGER_RESTRUCTURE_BNK">"c720"</definedName>
    <definedName name="IQ_MERGER_RESTRUCTURE_BR">"c721"</definedName>
    <definedName name="IQ_MERGER_RESTRUCTURE_FIN">"c722"</definedName>
    <definedName name="IQ_MERGER_RESTRUCTURE_INS">"c723"</definedName>
    <definedName name="IQ_MERGER_RESTRUCTURE_RE">"c6236"</definedName>
    <definedName name="IQ_MERGER_RESTRUCTURE_REIT">"c724"</definedName>
    <definedName name="IQ_MERGER_RESTRUCTURE_UTI">"c725"</definedName>
    <definedName name="IQ_MERGER_UTI">"c726"</definedName>
    <definedName name="IQ_MINORITY_INTEREST">"c727"</definedName>
    <definedName name="IQ_MINORITY_INTEREST_BNK">"c728"</definedName>
    <definedName name="IQ_MINORITY_INTEREST_BR">"c729"</definedName>
    <definedName name="IQ_MINORITY_INTEREST_CF">"c730"</definedName>
    <definedName name="IQ_MINORITY_INTEREST_FIN">"c731"</definedName>
    <definedName name="IQ_MINORITY_INTEREST_INS">"c732"</definedName>
    <definedName name="IQ_MINORITY_INTEREST_IS">"c733"</definedName>
    <definedName name="IQ_MINORITY_INTEREST_RE">"c6237"</definedName>
    <definedName name="IQ_MINORITY_INTEREST_REIT">"c734"</definedName>
    <definedName name="IQ_MINORITY_INTEREST_TOTAL">"c1905"</definedName>
    <definedName name="IQ_MINORITY_INTEREST_UTI">"c735"</definedName>
    <definedName name="IQ_MISC_ADJUST_CF">"c736"</definedName>
    <definedName name="IQ_MISC_EARN_ADJ">"c1603"</definedName>
    <definedName name="IQ_MKTCAP_EBT_EXCL">"c737"</definedName>
    <definedName name="IQ_MKTCAP_EBT_EXCL_AVG">"c738"</definedName>
    <definedName name="IQ_MKTCAP_EBT_INCL_AVG">"c739"</definedName>
    <definedName name="IQ_MKTCAP_TOTAL_REV">"c740"</definedName>
    <definedName name="IQ_MKTCAP_TOTAL_REV_AVG">"c741"</definedName>
    <definedName name="IQ_MKTCAP_TOTAL_REV_FWD">"c742"</definedName>
    <definedName name="IQ_MKTCAP_TOTAL_REV_FWD_REUT">"c4048"</definedName>
    <definedName name="IQ_MM_ACCOUNT">"c743"</definedName>
    <definedName name="IQ_MONEY_MARKET_DEPOSIT_ACCOUNTS_FDIC">"c6553"</definedName>
    <definedName name="IQ_MONTH">15000</definedName>
    <definedName name="IQ_MORT_BANK_ACT">"c744"</definedName>
    <definedName name="IQ_MORT_BANKING_FEE">"c745"</definedName>
    <definedName name="IQ_MORT_INT_INC">"c746"</definedName>
    <definedName name="IQ_MORT_LOANS">"c747"</definedName>
    <definedName name="IQ_MORT_SECURITY">"c748"</definedName>
    <definedName name="IQ_MORTGAGE_BACKED_SECURITIES_FDIC">"c6402"</definedName>
    <definedName name="IQ_MORTGAGE_SERV_RIGHTS">"c2242"</definedName>
    <definedName name="IQ_MORTGAGE_SERVICING_FDIC">"c6335"</definedName>
    <definedName name="IQ_MTD">800000</definedName>
    <definedName name="IQ_MULTIFAMILY_RESIDENTIAL_LOANS_FDIC">"c6311"</definedName>
    <definedName name="IQ_NAMES_REVISION_DATE_">40691.9606712963</definedName>
    <definedName name="IQ_NAV_ACT_OR_EST">"c2225"</definedName>
    <definedName name="IQ_NAV_EST">"c1751"</definedName>
    <definedName name="IQ_NAV_HIGH_EST">"c1753"</definedName>
    <definedName name="IQ_NAV_LOW_EST">"c1754"</definedName>
    <definedName name="IQ_NAV_MEDIAN_EST">"c1752"</definedName>
    <definedName name="IQ_NAV_NUM_EST">"c1755"</definedName>
    <definedName name="IQ_NAV_SHARE_ACT_OR_EST">"c2225"</definedName>
    <definedName name="IQ_NAV_SHARE_ACT_OR_EST_REUT">"c5623"</definedName>
    <definedName name="IQ_NAV_SHARE_EST">"c5609"</definedName>
    <definedName name="IQ_NAV_SHARE_EST_REUT">"c5617"</definedName>
    <definedName name="IQ_NAV_SHARE_HIGH_EST">"c5612"</definedName>
    <definedName name="IQ_NAV_SHARE_HIGH_EST_REUT">"c5620"</definedName>
    <definedName name="IQ_NAV_SHARE_LOW_EST">"c5613"</definedName>
    <definedName name="IQ_NAV_SHARE_LOW_EST_REUT">"c5621"</definedName>
    <definedName name="IQ_NAV_SHARE_MEDIAN_EST">"c5610"</definedName>
    <definedName name="IQ_NAV_SHARE_MEDIAN_EST_REUT">"c5618"</definedName>
    <definedName name="IQ_NAV_SHARE_NUM_EST">"c5614"</definedName>
    <definedName name="IQ_NAV_SHARE_NUM_EST_REUT">"c5622"</definedName>
    <definedName name="IQ_NAV_SHARE_STDDEV_EST">"c5611"</definedName>
    <definedName name="IQ_NAV_SHARE_STDDEV_EST_REUT">"c5619"</definedName>
    <definedName name="IQ_NAV_STDDEV_EST">"c1756"</definedName>
    <definedName name="IQ_NET_CHANGE">"c749"</definedName>
    <definedName name="IQ_NET_CHARGE_OFFS_FDIC">"c6641"</definedName>
    <definedName name="IQ_NET_CHARGE_OFFS_LOANS_FDIC">"c6751"</definedName>
    <definedName name="IQ_NET_CLAIM_EXP_INCUR">"c2757"</definedName>
    <definedName name="IQ_NET_CLAIM_EXP_INCUR_CY">"c2761"</definedName>
    <definedName name="IQ_NET_CLAIM_EXP_INCUR_PY">"c2762"</definedName>
    <definedName name="IQ_NET_CLAIM_EXP_PAID">"c2760"</definedName>
    <definedName name="IQ_NET_CLAIM_EXP_PAID_CY">"c2763"</definedName>
    <definedName name="IQ_NET_CLAIM_EXP_PAID_PY">"c2764"</definedName>
    <definedName name="IQ_NET_CLAIM_EXP_RES">"c2754"</definedName>
    <definedName name="IQ_NET_DEBT">"c1584"</definedName>
    <definedName name="IQ_NET_DEBT_ACT_OR_EST">"c3583"</definedName>
    <definedName name="IQ_NET_DEBT_ACT_OR_EST_REUT">"c5473"</definedName>
    <definedName name="IQ_NET_DEBT_EBITDA">"c750"</definedName>
    <definedName name="IQ_NET_DEBT_EBITDA_CAPEX">"c2949"</definedName>
    <definedName name="IQ_NET_DEBT_EST">"c3517"</definedName>
    <definedName name="IQ_NET_DEBT_EST_REUT">"c3976"</definedName>
    <definedName name="IQ_NET_DEBT_GUIDANCE">"c4467"</definedName>
    <definedName name="IQ_NET_DEBT_HIGH_EST">"c3518"</definedName>
    <definedName name="IQ_NET_DEBT_HIGH_EST_REUT">"c3978"</definedName>
    <definedName name="IQ_NET_DEBT_HIGH_GUIDANCE">"c4181"</definedName>
    <definedName name="IQ_NET_DEBT_ISSUED">"c751"</definedName>
    <definedName name="IQ_NET_DEBT_ISSUED_BNK">"c752"</definedName>
    <definedName name="IQ_NET_DEBT_ISSUED_BR">"c753"</definedName>
    <definedName name="IQ_NET_DEBT_ISSUED_FIN">"c754"</definedName>
    <definedName name="IQ_NET_DEBT_ISSUED_INS">"c755"</definedName>
    <definedName name="IQ_NET_DEBT_ISSUED_RE">"c6238"</definedName>
    <definedName name="IQ_NET_DEBT_ISSUED_REIT">"c756"</definedName>
    <definedName name="IQ_NET_DEBT_ISSUED_UTI">"c757"</definedName>
    <definedName name="IQ_NET_DEBT_LOW_EST">"c3519"</definedName>
    <definedName name="IQ_NET_DEBT_LOW_EST_REUT">"c3979"</definedName>
    <definedName name="IQ_NET_DEBT_LOW_GUIDANCE">"c4221"</definedName>
    <definedName name="IQ_NET_DEBT_MEDIAN_EST">"c3520"</definedName>
    <definedName name="IQ_NET_DEBT_MEDIAN_EST_REUT">"c3977"</definedName>
    <definedName name="IQ_NET_DEBT_NUM_EST">"c3515"</definedName>
    <definedName name="IQ_NET_DEBT_NUM_EST_REUT">"c3980"</definedName>
    <definedName name="IQ_NET_DEBT_STDDEV_EST">"c3516"</definedName>
    <definedName name="IQ_NET_DEBT_STDDEV_EST_REUT">"c3981"</definedName>
    <definedName name="IQ_NET_EARNED">"c2734"</definedName>
    <definedName name="IQ_NET_INC">"c1394"</definedName>
    <definedName name="IQ_NET_INC_BEFORE">"c1368"</definedName>
    <definedName name="IQ_NET_INC_CF">"c1397"</definedName>
    <definedName name="IQ_NET_INC_MARGIN">"c1398"</definedName>
    <definedName name="IQ_NET_INCOME_FDIC">"c6587"</definedName>
    <definedName name="IQ_NET_INT_INC_10YR_ANN_CAGR">"c6100"</definedName>
    <definedName name="IQ_NET_INT_INC_10YR_ANN_GROWTH">"c758"</definedName>
    <definedName name="IQ_NET_INT_INC_1YR_ANN_GROWTH">"c759"</definedName>
    <definedName name="IQ_NET_INT_INC_2YR_ANN_CAGR">"c6101"</definedName>
    <definedName name="IQ_NET_INT_INC_2YR_ANN_GROWTH">"c760"</definedName>
    <definedName name="IQ_NET_INT_INC_3YR_ANN_CAGR">"c6102"</definedName>
    <definedName name="IQ_NET_INT_INC_3YR_ANN_GROWTH">"c761"</definedName>
    <definedName name="IQ_NET_INT_INC_5YR_ANN_CAGR">"c6103"</definedName>
    <definedName name="IQ_NET_INT_INC_5YR_ANN_GROWTH">"c762"</definedName>
    <definedName name="IQ_NET_INT_INC_7YR_ANN_CAGR">"c6104"</definedName>
    <definedName name="IQ_NET_INT_INC_7YR_ANN_GROWTH">"c763"</definedName>
    <definedName name="IQ_NET_INT_INC_BNK">"c764"</definedName>
    <definedName name="IQ_NET_INT_INC_BNK_FDIC">"c6570"</definedName>
    <definedName name="IQ_NET_INT_INC_BR">"c765"</definedName>
    <definedName name="IQ_NET_INT_INC_FIN">"c766"</definedName>
    <definedName name="IQ_NET_INT_INC_TOTAL_REV">"c767"</definedName>
    <definedName name="IQ_NET_INT_MARGIN">"c768"</definedName>
    <definedName name="IQ_NET_INTEREST_EXP">"c769"</definedName>
    <definedName name="IQ_NET_INTEREST_EXP_RE">"c6239"</definedName>
    <definedName name="IQ_NET_INTEREST_EXP_REIT">"c770"</definedName>
    <definedName name="IQ_NET_INTEREST_EXP_UTI">"c771"</definedName>
    <definedName name="IQ_NET_INTEREST_INC">"c1392"</definedName>
    <definedName name="IQ_NET_INTEREST_INC_AFTER_LL">"c1604"</definedName>
    <definedName name="IQ_NET_INTEREST_MARGIN_FDIC">"c6726"</definedName>
    <definedName name="IQ_NET_LIFE_INS_IN_FORCE">"c2769"</definedName>
    <definedName name="IQ_NET_LOANS">"c772"</definedName>
    <definedName name="IQ_NET_LOANS_10YR_ANN_CAGR">"c6105"</definedName>
    <definedName name="IQ_NET_LOANS_10YR_ANN_GROWTH">"c773"</definedName>
    <definedName name="IQ_NET_LOANS_1YR_ANN_GROWTH">"c774"</definedName>
    <definedName name="IQ_NET_LOANS_2YR_ANN_CAGR">"c6106"</definedName>
    <definedName name="IQ_NET_LOANS_2YR_ANN_GROWTH">"c775"</definedName>
    <definedName name="IQ_NET_LOANS_3YR_ANN_CAGR">"c6107"</definedName>
    <definedName name="IQ_NET_LOANS_3YR_ANN_GROWTH">"c776"</definedName>
    <definedName name="IQ_NET_LOANS_5YR_ANN_CAGR">"c6108"</definedName>
    <definedName name="IQ_NET_LOANS_5YR_ANN_GROWTH">"c777"</definedName>
    <definedName name="IQ_NET_LOANS_7YR_ANN_CAGR">"c6109"</definedName>
    <definedName name="IQ_NET_LOANS_7YR_ANN_GROWTH">"c778"</definedName>
    <definedName name="IQ_NET_LOANS_LEASES_CORE_DEPOSITS_FDIC">"c6743"</definedName>
    <definedName name="IQ_NET_LOANS_LEASES_DEPOSITS_FDIC">"c6742"</definedName>
    <definedName name="IQ_NET_LOANS_TOTAL_DEPOSITS">"c779"</definedName>
    <definedName name="IQ_NET_OPERATING_INCOME_ASSETS_FDIC">"c6729"</definedName>
    <definedName name="IQ_NET_RENTAL_EXP_FN">"c780"</definedName>
    <definedName name="IQ_NET_SECURITIZATION_INCOME_FDIC">"c6669"</definedName>
    <definedName name="IQ_NET_SERVICING_FEES_FDIC">"c6668"</definedName>
    <definedName name="IQ_NET_TO_GROSS_EARNED">"c2750"</definedName>
    <definedName name="IQ_NET_TO_GROSS_WRITTEN">"c2729"</definedName>
    <definedName name="IQ_NET_WORKING_CAP">"c3493"</definedName>
    <definedName name="IQ_NET_WRITTEN">"c2728"</definedName>
    <definedName name="IQ_NEW_PREM">"c2785"</definedName>
    <definedName name="IQ_NEXT_CALL_DATE">"c2198"</definedName>
    <definedName name="IQ_NEXT_CALL_PRICE">"c2199"</definedName>
    <definedName name="IQ_NEXT_INT_DATE">"c2187"</definedName>
    <definedName name="IQ_NEXT_PUT_DATE">"c2200"</definedName>
    <definedName name="IQ_NEXT_PUT_PRICE">"c2201"</definedName>
    <definedName name="IQ_NEXT_SINK_FUND_AMOUNT">"c2490"</definedName>
    <definedName name="IQ_NEXT_SINK_FUND_DATE">"c2489"</definedName>
    <definedName name="IQ_NEXT_SINK_FUND_PRICE">"c2491"</definedName>
    <definedName name="IQ_NI">"c781"</definedName>
    <definedName name="IQ_NI_10YR_ANN_CAGR">"c6110"</definedName>
    <definedName name="IQ_NI_10YR_ANN_GROWTH">"c782"</definedName>
    <definedName name="IQ_NI_1YR_ANN_GROWTH">"c783"</definedName>
    <definedName name="IQ_NI_2YR_ANN_CAGR">"c6111"</definedName>
    <definedName name="IQ_NI_2YR_ANN_GROWTH">"c784"</definedName>
    <definedName name="IQ_NI_3YR_ANN_CAGR">"c6112"</definedName>
    <definedName name="IQ_NI_3YR_ANN_GROWTH">"c785"</definedName>
    <definedName name="IQ_NI_5YR_ANN_CAGR">"c6113"</definedName>
    <definedName name="IQ_NI_5YR_ANN_GROWTH">"c786"</definedName>
    <definedName name="IQ_NI_7YR_ANN_CAGR">"c6114"</definedName>
    <definedName name="IQ_NI_7YR_ANN_GROWTH">"c787"</definedName>
    <definedName name="IQ_NI_ACT_OR_EST">"c2222"</definedName>
    <definedName name="IQ_NI_ACT_OR_EST_REUT">"c5468"</definedName>
    <definedName name="IQ_NI_AFTER_CAPITALIZED">"c788"</definedName>
    <definedName name="IQ_NI_AVAIL_EXCL">"c789"</definedName>
    <definedName name="IQ_NI_AVAIL_EXCL_MARGIN">"c790"</definedName>
    <definedName name="IQ_NI_AVAIL_INCL">"c791"</definedName>
    <definedName name="IQ_NI_BEFORE_CAPITALIZED">"c792"</definedName>
    <definedName name="IQ_NI_CF">"c793"</definedName>
    <definedName name="IQ_NI_EST">"c1716"</definedName>
    <definedName name="IQ_NI_EST_REUT">"c5368"</definedName>
    <definedName name="IQ_NI_GAAP_GUIDANCE">"c4470"</definedName>
    <definedName name="IQ_NI_GAAP_HIGH_GUIDANCE">"c4177"</definedName>
    <definedName name="IQ_NI_GAAP_LOW_GUIDANCE">"c4217"</definedName>
    <definedName name="IQ_NI_GUIDANCE">"c4469"</definedName>
    <definedName name="IQ_NI_GW_EST">"c1723"</definedName>
    <definedName name="IQ_NI_GW_EST_REUT">"c5375"</definedName>
    <definedName name="IQ_NI_GW_GUIDANCE">"c4471"</definedName>
    <definedName name="IQ_NI_GW_HIGH_EST">"c1725"</definedName>
    <definedName name="IQ_NI_GW_HIGH_EST_REUT">"c5377"</definedName>
    <definedName name="IQ_NI_GW_HIGH_GUIDANCE">"c4178"</definedName>
    <definedName name="IQ_NI_GW_LOW_EST">"c1726"</definedName>
    <definedName name="IQ_NI_GW_LOW_EST_REUT">"c5378"</definedName>
    <definedName name="IQ_NI_GW_LOW_GUIDANCE">"c4218"</definedName>
    <definedName name="IQ_NI_GW_MEDIAN_EST">"c1724"</definedName>
    <definedName name="IQ_NI_GW_MEDIAN_EST_REUT">"c5376"</definedName>
    <definedName name="IQ_NI_GW_NUM_EST">"c1727"</definedName>
    <definedName name="IQ_NI_GW_NUM_EST_REUT">"c5379"</definedName>
    <definedName name="IQ_NI_GW_STDDEV_EST">"c1728"</definedName>
    <definedName name="IQ_NI_GW_STDDEV_EST_REUT">"c5380"</definedName>
    <definedName name="IQ_NI_HIGH_EST">"c1718"</definedName>
    <definedName name="IQ_NI_HIGH_EST_REUT">"c5370"</definedName>
    <definedName name="IQ_NI_HIGH_GUIDANCE">"c4176"</definedName>
    <definedName name="IQ_NI_LOW_EST">"c1719"</definedName>
    <definedName name="IQ_NI_LOW_EST_REUT">"c5371"</definedName>
    <definedName name="IQ_NI_LOW_GUIDANCE">"c4216"</definedName>
    <definedName name="IQ_NI_MARGIN">"c794"</definedName>
    <definedName name="IQ_NI_MEDIAN_EST">"c1717"</definedName>
    <definedName name="IQ_NI_MEDIAN_EST_REUT">"c5369"</definedName>
    <definedName name="IQ_NI_NORM">"c1901"</definedName>
    <definedName name="IQ_NI_NORM_10YR_ANN_CAGR">"c6189"</definedName>
    <definedName name="IQ_NI_NORM_10YR_ANN_GROWTH">"c1960"</definedName>
    <definedName name="IQ_NI_NORM_1YR_ANN_GROWTH">"c1955"</definedName>
    <definedName name="IQ_NI_NORM_2YR_ANN_CAGR">"c6185"</definedName>
    <definedName name="IQ_NI_NORM_2YR_ANN_GROWTH">"c1956"</definedName>
    <definedName name="IQ_NI_NORM_3YR_ANN_CAGR">"c6186"</definedName>
    <definedName name="IQ_NI_NORM_3YR_ANN_GROWTH">"c1957"</definedName>
    <definedName name="IQ_NI_NORM_5YR_ANN_CAGR">"c6187"</definedName>
    <definedName name="IQ_NI_NORM_5YR_ANN_GROWTH">"c1958"</definedName>
    <definedName name="IQ_NI_NORM_7YR_ANN_CAGR">"c6188"</definedName>
    <definedName name="IQ_NI_NORM_7YR_ANN_GROWTH">"c1959"</definedName>
    <definedName name="IQ_NI_NORM_MARGIN">"c1964"</definedName>
    <definedName name="IQ_NI_NUM_EST">"c1720"</definedName>
    <definedName name="IQ_NI_NUM_EST_REUT">"c5372"</definedName>
    <definedName name="IQ_NI_REPORTED_EST">"c1730"</definedName>
    <definedName name="IQ_NI_REPORTED_EST_REUT">"c5382"</definedName>
    <definedName name="IQ_NI_REPORTED_HIGH_EST">"c1732"</definedName>
    <definedName name="IQ_NI_REPORTED_HIGH_EST_REUT">"c5384"</definedName>
    <definedName name="IQ_NI_REPORTED_LOW_EST">"c1733"</definedName>
    <definedName name="IQ_NI_REPORTED_LOW_EST_REUT">"c5385"</definedName>
    <definedName name="IQ_NI_REPORTED_MEDIAN_EST">"c1731"</definedName>
    <definedName name="IQ_NI_REPORTED_MEDIAN_EST_REUT">"c5383"</definedName>
    <definedName name="IQ_NI_REPORTED_NUM_EST">"c1734"</definedName>
    <definedName name="IQ_NI_REPORTED_NUM_EST_REUT">"c5386"</definedName>
    <definedName name="IQ_NI_REPORTED_STDDEV_EST">"c1735"</definedName>
    <definedName name="IQ_NI_REPORTED_STDDEV_EST_REUT">"c5387"</definedName>
    <definedName name="IQ_NI_SBC_ACT_OR_EST">"c4474"</definedName>
    <definedName name="IQ_NI_SBC_EST">"c4473"</definedName>
    <definedName name="IQ_NI_SBC_GUIDANCE">"c4475"</definedName>
    <definedName name="IQ_NI_SBC_GW_ACT_OR_EST">"c4478"</definedName>
    <definedName name="IQ_NI_SBC_GW_EST">"c4477"</definedName>
    <definedName name="IQ_NI_SBC_GW_GUIDANCE">"c4479"</definedName>
    <definedName name="IQ_NI_SBC_GW_HIGH_EST">"c4480"</definedName>
    <definedName name="IQ_NI_SBC_GW_HIGH_GUIDANCE">"c4187"</definedName>
    <definedName name="IQ_NI_SBC_GW_LOW_EST">"c4481"</definedName>
    <definedName name="IQ_NI_SBC_GW_LOW_GUIDANCE">"c4227"</definedName>
    <definedName name="IQ_NI_SBC_GW_MEDIAN_EST">"c4482"</definedName>
    <definedName name="IQ_NI_SBC_GW_NUM_EST">"c4483"</definedName>
    <definedName name="IQ_NI_SBC_GW_STDDEV_EST">"c4484"</definedName>
    <definedName name="IQ_NI_SBC_HIGH_EST">"c4486"</definedName>
    <definedName name="IQ_NI_SBC_HIGH_GUIDANCE">"c4186"</definedName>
    <definedName name="IQ_NI_SBC_LOW_EST">"c4487"</definedName>
    <definedName name="IQ_NI_SBC_LOW_GUIDANCE">"c4226"</definedName>
    <definedName name="IQ_NI_SBC_MEDIAN_EST">"c4488"</definedName>
    <definedName name="IQ_NI_SBC_NUM_EST">"c4489"</definedName>
    <definedName name="IQ_NI_SBC_STDDEV_EST">"c4490"</definedName>
    <definedName name="IQ_NI_SFAS">"c795"</definedName>
    <definedName name="IQ_NI_STDDEV_EST">"c1721"</definedName>
    <definedName name="IQ_NI_STDDEV_EST_REUT">"c5373"</definedName>
    <definedName name="IQ_NOL_CF_1YR">"c3465"</definedName>
    <definedName name="IQ_NOL_CF_2YR">"c3466"</definedName>
    <definedName name="IQ_NOL_CF_3YR">"c3467"</definedName>
    <definedName name="IQ_NOL_CF_4YR">"c3468"</definedName>
    <definedName name="IQ_NOL_CF_5YR">"c3469"</definedName>
    <definedName name="IQ_NOL_CF_AFTER_FIVE">"c3470"</definedName>
    <definedName name="IQ_NOL_CF_MAX_YEAR">"c3473"</definedName>
    <definedName name="IQ_NOL_CF_NO_EXP">"c3471"</definedName>
    <definedName name="IQ_NOL_CF_TOTAL">"c3472"</definedName>
    <definedName name="IQ_NON_ACCRUAL_LOANS">"c796"</definedName>
    <definedName name="IQ_NON_CASH">"c1399"</definedName>
    <definedName name="IQ_NON_CASH_ITEMS">"c797"</definedName>
    <definedName name="IQ_NON_INS_EXP">"c798"</definedName>
    <definedName name="IQ_NON_INS_REV">"c799"</definedName>
    <definedName name="IQ_NON_INT_BEAR_CD">"c800"</definedName>
    <definedName name="IQ_NON_INT_EXP">"c801"</definedName>
    <definedName name="IQ_NON_INT_EXP_FDIC">"c6579"</definedName>
    <definedName name="IQ_NON_INT_INC">"c802"</definedName>
    <definedName name="IQ_NON_INT_INC_10YR_ANN_CAGR">"c6115"</definedName>
    <definedName name="IQ_NON_INT_INC_10YR_ANN_GROWTH">"c803"</definedName>
    <definedName name="IQ_NON_INT_INC_1YR_ANN_GROWTH">"c804"</definedName>
    <definedName name="IQ_NON_INT_INC_2YR_ANN_CAGR">"c6116"</definedName>
    <definedName name="IQ_NON_INT_INC_2YR_ANN_GROWTH">"c805"</definedName>
    <definedName name="IQ_NON_INT_INC_3YR_ANN_CAGR">"c6117"</definedName>
    <definedName name="IQ_NON_INT_INC_3YR_ANN_GROWTH">"c806"</definedName>
    <definedName name="IQ_NON_INT_INC_5YR_ANN_CAGR">"c6118"</definedName>
    <definedName name="IQ_NON_INT_INC_5YR_ANN_GROWTH">"c807"</definedName>
    <definedName name="IQ_NON_INT_INC_7YR_ANN_CAGR">"c6119"</definedName>
    <definedName name="IQ_NON_INT_INC_7YR_ANN_GROWTH">"c808"</definedName>
    <definedName name="IQ_NON_INT_INC_FDIC">"c6575"</definedName>
    <definedName name="IQ_NON_INTEREST_EXP">"c1400"</definedName>
    <definedName name="IQ_NON_INTEREST_INC">"c1401"</definedName>
    <definedName name="IQ_NON_OPER_EXP">"c809"</definedName>
    <definedName name="IQ_NON_OPER_INC">"c810"</definedName>
    <definedName name="IQ_NON_PERF_ASSETS_10YR_ANN_CAGR">"c6120"</definedName>
    <definedName name="IQ_NON_PERF_ASSETS_10YR_ANN_GROWTH">"c811"</definedName>
    <definedName name="IQ_NON_PERF_ASSETS_1YR_ANN_GROWTH">"c812"</definedName>
    <definedName name="IQ_NON_PERF_ASSETS_2YR_ANN_CAGR">"c6121"</definedName>
    <definedName name="IQ_NON_PERF_ASSETS_2YR_ANN_GROWTH">"c813"</definedName>
    <definedName name="IQ_NON_PERF_ASSETS_3YR_ANN_CAGR">"c6122"</definedName>
    <definedName name="IQ_NON_PERF_ASSETS_3YR_ANN_GROWTH">"c814"</definedName>
    <definedName name="IQ_NON_PERF_ASSETS_5YR_ANN_CAGR">"c6123"</definedName>
    <definedName name="IQ_NON_PERF_ASSETS_5YR_ANN_GROWTH">"c815"</definedName>
    <definedName name="IQ_NON_PERF_ASSETS_7YR_ANN_CAGR">"c6124"</definedName>
    <definedName name="IQ_NON_PERF_ASSETS_7YR_ANN_GROWTH">"c816"</definedName>
    <definedName name="IQ_NON_PERF_ASSETS_TOTAL_ASSETS">"c817"</definedName>
    <definedName name="IQ_NON_PERF_LOANS_10YR_ANN_CAGR">"c6125"</definedName>
    <definedName name="IQ_NON_PERF_LOANS_10YR_ANN_GROWTH">"c818"</definedName>
    <definedName name="IQ_NON_PERF_LOANS_1YR_ANN_GROWTH">"c819"</definedName>
    <definedName name="IQ_NON_PERF_LOANS_2YR_ANN_CAGR">"c6126"</definedName>
    <definedName name="IQ_NON_PERF_LOANS_2YR_ANN_GROWTH">"c820"</definedName>
    <definedName name="IQ_NON_PERF_LOANS_3YR_ANN_CAGR">"c6127"</definedName>
    <definedName name="IQ_NON_PERF_LOANS_3YR_ANN_GROWTH">"c821"</definedName>
    <definedName name="IQ_NON_PERF_LOANS_5YR_ANN_CAGR">"c6128"</definedName>
    <definedName name="IQ_NON_PERF_LOANS_5YR_ANN_GROWTH">"c822"</definedName>
    <definedName name="IQ_NON_PERF_LOANS_7YR_ANN_CAGR">"c6129"</definedName>
    <definedName name="IQ_NON_PERF_LOANS_7YR_ANN_GROWTH">"c823"</definedName>
    <definedName name="IQ_NON_PERF_LOANS_TOTAL_ASSETS">"c824"</definedName>
    <definedName name="IQ_NON_PERF_LOANS_TOTAL_LOANS">"c825"</definedName>
    <definedName name="IQ_NON_PERFORMING_ASSETS">"c826"</definedName>
    <definedName name="IQ_NON_PERFORMING_LOANS">"c827"</definedName>
    <definedName name="IQ_NON_US_ADDRESSEES_TOTAL_LOANS_FOREIGN_FDIC">"c6443"</definedName>
    <definedName name="IQ_NON_US_CHARGE_OFFS_AND_RECOVERIES_FDIC">"c6650"</definedName>
    <definedName name="IQ_NON_US_CHARGE_OFFS_FDIC">"c6648"</definedName>
    <definedName name="IQ_NON_US_COMMERCIAL_INDUSTRIAL_CHARGE_OFFS_FDIC">"c6651"</definedName>
    <definedName name="IQ_NON_US_NET_LOANS_FDIC">"c6376"</definedName>
    <definedName name="IQ_NON_US_RECOVERIES_FDIC">"c6649"</definedName>
    <definedName name="IQ_NONCASH_PENSION_EXP">"c3000"</definedName>
    <definedName name="IQ_NONCURRENT_LOANS_1_4_FAMILY_FDIC">"c6770"</definedName>
    <definedName name="IQ_NONCURRENT_LOANS_COMMERCIAL_INDUSTRIAL_FDIC">"c6773"</definedName>
    <definedName name="IQ_NONCURRENT_LOANS_COMMERCIAL_RE_FDIC">"c6768"</definedName>
    <definedName name="IQ_NONCURRENT_LOANS_COMMERCIAL_RE_NOT_SECURED_FDIC">"c6778"</definedName>
    <definedName name="IQ_NONCURRENT_LOANS_CONSTRUCTION_LAND_DEV_FDIC">"c6767"</definedName>
    <definedName name="IQ_NONCURRENT_LOANS_CREDIT_CARD_FDIC">"c6775"</definedName>
    <definedName name="IQ_NONCURRENT_LOANS_GUARANTEED_FDIC">"c6358"</definedName>
    <definedName name="IQ_NONCURRENT_LOANS_HOME_EQUITY_FDIC">"c6771"</definedName>
    <definedName name="IQ_NONCURRENT_LOANS_INDIVIDUALS_FDIC">"c6774"</definedName>
    <definedName name="IQ_NONCURRENT_LOANS_LEASES_FDIC">"c6357"</definedName>
    <definedName name="IQ_NONCURRENT_LOANS_MULTIFAMILY_FDIC">"c6769"</definedName>
    <definedName name="IQ_NONCURRENT_LOANS_OTHER_FAMILY_FDIC">"c6772"</definedName>
    <definedName name="IQ_NONCURRENT_LOANS_OTHER_INDIVIDUAL_FDIC">"c6776"</definedName>
    <definedName name="IQ_NONCURRENT_LOANS_OTHER_LOANS_FDIC">"c6777"</definedName>
    <definedName name="IQ_NONCURRENT_LOANS_RE_FDIC">"c6766"</definedName>
    <definedName name="IQ_NONCURRENT_LOANS_TOTAL_LOANS_FDIC">"c6765"</definedName>
    <definedName name="IQ_NONCURRENT_OREO_ASSETS_FDIC">"c6741"</definedName>
    <definedName name="IQ_NONINTEREST_BEARING_BALANCES_FDIC">"c6394"</definedName>
    <definedName name="IQ_NONINTEREST_BEARING_DEPOSITS_DOMESTIC_FDIC">"c6477"</definedName>
    <definedName name="IQ_NONINTEREST_BEARING_DEPOSITS_FOREIGN_FDIC">"c6484"</definedName>
    <definedName name="IQ_NONINTEREST_EXPENSE_EARNING_ASSETS_FDIC">"c6728"</definedName>
    <definedName name="IQ_NONINTEREST_INCOME_EARNING_ASSETS_FDIC">"c6727"</definedName>
    <definedName name="IQ_NONMORTGAGE_SERVICING_FDIC">"c6336"</definedName>
    <definedName name="IQ_NONRECOURSE_DEBT">"c2550"</definedName>
    <definedName name="IQ_NONRECOURSE_DEBT_PCT">"c2551"</definedName>
    <definedName name="IQ_NONRES_FIXED_INVEST_PRIV_APR_FC_UNUSED_UNUSED_UNUSED">"c8468"</definedName>
    <definedName name="IQ_NONRES_FIXED_INVEST_PRIV_APR_UNUSED_UNUSED_UNUSED">"c7588"</definedName>
    <definedName name="IQ_NONRES_FIXED_INVEST_PRIV_FC_UNUSED_UNUSED_UNUSED">"c7808"</definedName>
    <definedName name="IQ_NONRES_FIXED_INVEST_PRIV_POP_FC_UNUSED_UNUSED_UNUSED">"c8028"</definedName>
    <definedName name="IQ_NONRES_FIXED_INVEST_PRIV_POP_UNUSED_UNUSED_UNUSED">"c7148"</definedName>
    <definedName name="IQ_NONRES_FIXED_INVEST_PRIV_UNUSED_UNUSED_UNUSED">"c6928"</definedName>
    <definedName name="IQ_NONRES_FIXED_INVEST_PRIV_YOY_FC_UNUSED_UNUSED_UNUSED">"c8248"</definedName>
    <definedName name="IQ_NONRES_FIXED_INVEST_PRIV_YOY_UNUSED_UNUSED_UNUSED">"c7368"</definedName>
    <definedName name="IQ_NONTRANSACTION_ACCOUNTS_FDIC">"c6552"</definedName>
    <definedName name="IQ_NONUTIL_REV">"c2089"</definedName>
    <definedName name="IQ_NORM_EPS_ACT_OR_EST">"c2249"</definedName>
    <definedName name="IQ_NORM_EPS_ACT_OR_EST_REUT">"c5472"</definedName>
    <definedName name="IQ_NORMAL_INC_AFTER">"c1605"</definedName>
    <definedName name="IQ_NORMAL_INC_AVAIL">"c1606"</definedName>
    <definedName name="IQ_NORMAL_INC_BEFORE">"c1607"</definedName>
    <definedName name="IQ_NOTES_PAY">"c1423"</definedName>
    <definedName name="IQ_NOTIONAL_AMOUNT_CREDIT_DERIVATIVES_FDIC">"c6507"</definedName>
    <definedName name="IQ_NOTIONAL_VALUE_EXCHANGE_SWAPS_FDIC">"c6516"</definedName>
    <definedName name="IQ_NOTIONAL_VALUE_OTHER_SWAPS_FDIC">"c6521"</definedName>
    <definedName name="IQ_NOTIONAL_VALUE_RATE_SWAPS_FDIC">"c6511"</definedName>
    <definedName name="IQ_NOW_ACCOUNT">"c828"</definedName>
    <definedName name="IQ_NPPE">"c829"</definedName>
    <definedName name="IQ_NPPE_10YR_ANN_CAGR">"c6130"</definedName>
    <definedName name="IQ_NPPE_10YR_ANN_GROWTH">"c830"</definedName>
    <definedName name="IQ_NPPE_1YR_ANN_GROWTH">"c831"</definedName>
    <definedName name="IQ_NPPE_2YR_ANN_CAGR">"c6131"</definedName>
    <definedName name="IQ_NPPE_2YR_ANN_GROWTH">"c832"</definedName>
    <definedName name="IQ_NPPE_3YR_ANN_CAGR">"c6132"</definedName>
    <definedName name="IQ_NPPE_3YR_ANN_GROWTH">"c833"</definedName>
    <definedName name="IQ_NPPE_5YR_ANN_CAGR">"c6133"</definedName>
    <definedName name="IQ_NPPE_5YR_ANN_GROWTH">"c834"</definedName>
    <definedName name="IQ_NPPE_7YR_ANN_CAGR">"c6134"</definedName>
    <definedName name="IQ_NPPE_7YR_ANN_GROWTH">"c835"</definedName>
    <definedName name="IQ_NTM">6000</definedName>
    <definedName name="IQ_NUKE">"c836"</definedName>
    <definedName name="IQ_NUKE_CF">"c837"</definedName>
    <definedName name="IQ_NUKE_CONTR">"c838"</definedName>
    <definedName name="IQ_NUM_BRANCHES">"c2088"</definedName>
    <definedName name="IQ_NUMBER_ADRHOLDERS">"c1970"</definedName>
    <definedName name="IQ_NUMBER_DAYS">"c1904"</definedName>
    <definedName name="IQ_NUMBER_DEPOSITS_LESS_THAN_100K_FDIC">"c6495"</definedName>
    <definedName name="IQ_NUMBER_DEPOSITS_MORE_THAN_100K_FDIC">"c6493"</definedName>
    <definedName name="IQ_NUMBER_SHAREHOLDERS">"c1967"</definedName>
    <definedName name="IQ_NUMBER_SHAREHOLDERS_CLASSA">"c1968"</definedName>
    <definedName name="IQ_NUMBER_SHAREHOLDERS_OTHER">"c1969"</definedName>
    <definedName name="IQ_OBLIGATIONS_OF_STATES_TOTAL_LOANS_FOREIGN_FDIC">"c6447"</definedName>
    <definedName name="IQ_OBLIGATIONS_STATES_FDIC">"c6431"</definedName>
    <definedName name="IQ_OCCUPY_EXP">"c839"</definedName>
    <definedName name="IQ_OFFER_AMOUNT">"c2152"</definedName>
    <definedName name="IQ_OFFER_COUPON">"c2147"</definedName>
    <definedName name="IQ_OFFER_COUPON_TYPE">"c2148"</definedName>
    <definedName name="IQ_OFFER_DATE">"c2149"</definedName>
    <definedName name="IQ_OFFER_PRICE">"c2150"</definedName>
    <definedName name="IQ_OFFER_YIELD">"c2151"</definedName>
    <definedName name="IQ_OG_10DISC">"c1998"</definedName>
    <definedName name="IQ_OG_10DISC_GAS">"c2018"</definedName>
    <definedName name="IQ_OG_10DISC_OIL">"c2008"</definedName>
    <definedName name="IQ_OG_ACQ_COST_PROVED">"c1975"</definedName>
    <definedName name="IQ_OG_ACQ_COST_PROVED_GAS">"c1987"</definedName>
    <definedName name="IQ_OG_ACQ_COST_PROVED_OIL">"c1981"</definedName>
    <definedName name="IQ_OG_ACQ_COST_UNPROVED">"c1976"</definedName>
    <definedName name="IQ_OG_ACQ_COST_UNPROVED_GAS">"c1988"</definedName>
    <definedName name="IQ_OG_ACQ_COST_UNPROVED_OIL">"c1982"</definedName>
    <definedName name="IQ_OG_AVG_DAILY_PROD_GAS">"c2910"</definedName>
    <definedName name="IQ_OG_AVG_DAILY_PROD_NGL">"c2911"</definedName>
    <definedName name="IQ_OG_AVG_DAILY_PROD_OIL">"c2909"</definedName>
    <definedName name="IQ_OG_AVG_DAILY_SALES_VOL_EQ_INC_GAS">"c5797"</definedName>
    <definedName name="IQ_OG_AVG_DAILY_SALES_VOL_EQ_INC_NGL">"c5798"</definedName>
    <definedName name="IQ_OG_AVG_DAILY_SALES_VOL_EQ_INC_OIL">"c5796"</definedName>
    <definedName name="IQ_OG_CLOSE_BALANCE_GAS">"c2049"</definedName>
    <definedName name="IQ_OG_CLOSE_BALANCE_NGL">"c2920"</definedName>
    <definedName name="IQ_OG_CLOSE_BALANCE_OIL">"c2037"</definedName>
    <definedName name="IQ_OG_DCF_BEFORE_TAXES">"c2023"</definedName>
    <definedName name="IQ_OG_DCF_BEFORE_TAXES_GAS">"c2025"</definedName>
    <definedName name="IQ_OG_DCF_BEFORE_TAXES_OIL">"c2024"</definedName>
    <definedName name="IQ_OG_DEVELOPED_ACRE_GROSS_EQ_INC">"c5802"</definedName>
    <definedName name="IQ_OG_DEVELOPED_ACRE_NET_EQ_INC">"c5803"</definedName>
    <definedName name="IQ_OG_DEVELOPED_RESERVES_GAS">"c2053"</definedName>
    <definedName name="IQ_OG_DEVELOPED_RESERVES_NGL">"c2922"</definedName>
    <definedName name="IQ_OG_DEVELOPED_RESERVES_OIL">"c2054"</definedName>
    <definedName name="IQ_OG_DEVELOPMENT_COSTS">"c1978"</definedName>
    <definedName name="IQ_OG_DEVELOPMENT_COSTS_GAS">"c1990"</definedName>
    <definedName name="IQ_OG_DEVELOPMENT_COSTS_OIL">"c1984"</definedName>
    <definedName name="IQ_OG_EQUITY_DCF">"c2002"</definedName>
    <definedName name="IQ_OG_EQUITY_DCF_GAS">"c2022"</definedName>
    <definedName name="IQ_OG_EQUITY_DCF_OIL">"c2012"</definedName>
    <definedName name="IQ_OG_EQUTY_RESERVES_GAS">"c2050"</definedName>
    <definedName name="IQ_OG_EQUTY_RESERVES_NGL">"c2921"</definedName>
    <definedName name="IQ_OG_EQUTY_RESERVES_OIL">"c2038"</definedName>
    <definedName name="IQ_OG_EXPLORATION_COSTS">"c1977"</definedName>
    <definedName name="IQ_OG_EXPLORATION_COSTS_GAS">"c1989"</definedName>
    <definedName name="IQ_OG_EXPLORATION_COSTS_OIL">"c1983"</definedName>
    <definedName name="IQ_OG_EXT_DISC_GAS">"c2043"</definedName>
    <definedName name="IQ_OG_EXT_DISC_NGL">"c2914"</definedName>
    <definedName name="IQ_OG_EXT_DISC_OIL">"c2031"</definedName>
    <definedName name="IQ_OG_FUTURE_CASH_INFLOWS">"c1993"</definedName>
    <definedName name="IQ_OG_FUTURE_CASH_INFLOWS_GAS">"c2013"</definedName>
    <definedName name="IQ_OG_FUTURE_CASH_INFLOWS_OIL">"c2003"</definedName>
    <definedName name="IQ_OG_FUTURE_DEVELOPMENT_COSTS">"c1995"</definedName>
    <definedName name="IQ_OG_FUTURE_DEVELOPMENT_COSTS_GAS">"c2015"</definedName>
    <definedName name="IQ_OG_FUTURE_DEVELOPMENT_COSTS_OIL">"c2005"</definedName>
    <definedName name="IQ_OG_FUTURE_INC_TAXES">"c1997"</definedName>
    <definedName name="IQ_OG_FUTURE_INC_TAXES_GAS">"c2017"</definedName>
    <definedName name="IQ_OG_FUTURE_INC_TAXES_OIL">"c2007"</definedName>
    <definedName name="IQ_OG_FUTURE_PRODUCTION_COSTS">"c1994"</definedName>
    <definedName name="IQ_OG_FUTURE_PRODUCTION_COSTS_GAS">"c2014"</definedName>
    <definedName name="IQ_OG_FUTURE_PRODUCTION_COSTS_OIL">"c2004"</definedName>
    <definedName name="IQ_OG_GAS_PRICE_HEDGED">"c2056"</definedName>
    <definedName name="IQ_OG_GAS_PRICE_UNHEDGED">"c2058"</definedName>
    <definedName name="IQ_OG_IMPROVED_RECOVERY_GAS">"c2044"</definedName>
    <definedName name="IQ_OG_IMPROVED_RECOVERY_NGL">"c2915"</definedName>
    <definedName name="IQ_OG_IMPROVED_RECOVERY_OIL">"c2032"</definedName>
    <definedName name="IQ_OG_LIQUID_GAS_PRICE_HEDGED">"c2233"</definedName>
    <definedName name="IQ_OG_LIQUID_GAS_PRICE_UNHEDGED">"c2234"</definedName>
    <definedName name="IQ_OG_NET_FUTURE_CASH_FLOWS">"c1996"</definedName>
    <definedName name="IQ_OG_NET_FUTURE_CASH_FLOWS_GAS">"c2016"</definedName>
    <definedName name="IQ_OG_NET_FUTURE_CASH_FLOWS_OIL">"c2006"</definedName>
    <definedName name="IQ_OG_OIL_PRICE_HEDGED">"c2055"</definedName>
    <definedName name="IQ_OG_OIL_PRICE_UNHEDGED">"c2057"</definedName>
    <definedName name="IQ_OG_OPEN_BALANCE_GAS">"c2041"</definedName>
    <definedName name="IQ_OG_OPEN_BALANCE_NGL">"c2912"</definedName>
    <definedName name="IQ_OG_OPEN_BALANCE_OIL">"c2029"</definedName>
    <definedName name="IQ_OG_OTHER_ADJ_FCF">"c1999"</definedName>
    <definedName name="IQ_OG_OTHER_ADJ_FCF_GAS">"c2019"</definedName>
    <definedName name="IQ_OG_OTHER_ADJ_FCF_OIL">"c2009"</definedName>
    <definedName name="IQ_OG_OTHER_ADJ_GAS">"c2048"</definedName>
    <definedName name="IQ_OG_OTHER_ADJ_NGL">"c2919"</definedName>
    <definedName name="IQ_OG_OTHER_ADJ_OIL">"c2036"</definedName>
    <definedName name="IQ_OG_OTHER_COSTS">"c1979"</definedName>
    <definedName name="IQ_OG_OTHER_COSTS_GAS">"c1991"</definedName>
    <definedName name="IQ_OG_OTHER_COSTS_OIL">"c1985"</definedName>
    <definedName name="IQ_OG_PRODUCTION_GAS">"c2047"</definedName>
    <definedName name="IQ_OG_PRODUCTION_NGL">"c2918"</definedName>
    <definedName name="IQ_OG_PRODUCTION_OIL">"c2035"</definedName>
    <definedName name="IQ_OG_PURCHASES_GAS">"c2045"</definedName>
    <definedName name="IQ_OG_PURCHASES_NGL">"c2916"</definedName>
    <definedName name="IQ_OG_PURCHASES_OIL">"c2033"</definedName>
    <definedName name="IQ_OG_RESERVE_REPLACEMENT_RATIO">"c5799"</definedName>
    <definedName name="IQ_OG_REVISIONS_GAS">"c2042"</definedName>
    <definedName name="IQ_OG_REVISIONS_NGL">"c2913"</definedName>
    <definedName name="IQ_OG_REVISIONS_OIL">"c2030"</definedName>
    <definedName name="IQ_OG_SALES_IN_PLACE_GAS">"c2046"</definedName>
    <definedName name="IQ_OG_SALES_IN_PLACE_NGL">"c2917"</definedName>
    <definedName name="IQ_OG_SALES_IN_PLACE_OIL">"c2034"</definedName>
    <definedName name="IQ_OG_SALES_VOL_EQ_INC_GAS">"c5794"</definedName>
    <definedName name="IQ_OG_SALES_VOL_EQ_INC_NGL">"c5795"</definedName>
    <definedName name="IQ_OG_SALES_VOL_EQ_INC_OIL">"c5793"</definedName>
    <definedName name="IQ_OG_STANDARDIZED_DCF">"c2000"</definedName>
    <definedName name="IQ_OG_STANDARDIZED_DCF_GAS">"c2020"</definedName>
    <definedName name="IQ_OG_STANDARDIZED_DCF_HEDGED">"c2001"</definedName>
    <definedName name="IQ_OG_STANDARDIZED_DCF_HEDGED_GAS">"c2021"</definedName>
    <definedName name="IQ_OG_STANDARDIZED_DCF_HEDGED_OIL">"c2011"</definedName>
    <definedName name="IQ_OG_STANDARDIZED_DCF_OIL">"c2010"</definedName>
    <definedName name="IQ_OG_TAXES">"c2026"</definedName>
    <definedName name="IQ_OG_TAXES_GAS">"c2028"</definedName>
    <definedName name="IQ_OG_TAXES_OIL">"c2027"</definedName>
    <definedName name="IQ_OG_TOTAL_COSTS">"c1980"</definedName>
    <definedName name="IQ_OG_TOTAL_COSTS_GAS">"c1992"</definedName>
    <definedName name="IQ_OG_TOTAL_COSTS_OIL">"c1986"</definedName>
    <definedName name="IQ_OG_TOTAL_EST_PROVED_RESERVES_GAS">"c2052"</definedName>
    <definedName name="IQ_OG_TOTAL_GAS_PRODUCTION">"c2060"</definedName>
    <definedName name="IQ_OG_TOTAL_LIQUID_GAS_PRODUCTION">"c2235"</definedName>
    <definedName name="IQ_OG_TOTAL_OIL_PRODUCTION">"c2059"</definedName>
    <definedName name="IQ_OG_TOTAL_OIL_PRODUCTON">"c2059"</definedName>
    <definedName name="IQ_OG_UNDEVELOPED_ACRE_GROSS_EQ_INC">"c5800"</definedName>
    <definedName name="IQ_OG_UNDEVELOPED_ACRE_NET_EQ_INC">"c5801"</definedName>
    <definedName name="IQ_OG_UNDEVELOPED_RESERVES_GAS">"c2051"</definedName>
    <definedName name="IQ_OG_UNDEVELOPED_RESERVES_NGL">"c2923"</definedName>
    <definedName name="IQ_OG_UNDEVELOPED_RESERVES_OIL">"c2039"</definedName>
    <definedName name="IQ_OIL_IMPAIR">"c840"</definedName>
    <definedName name="IQ_OL_COMM_AFTER_FIVE">"c841"</definedName>
    <definedName name="IQ_OL_COMM_CY">"c842"</definedName>
    <definedName name="IQ_OL_COMM_CY1">"c843"</definedName>
    <definedName name="IQ_OL_COMM_CY2">"c844"</definedName>
    <definedName name="IQ_OL_COMM_CY3">"c845"</definedName>
    <definedName name="IQ_OL_COMM_CY4">"c846"</definedName>
    <definedName name="IQ_OL_COMM_NEXT_FIVE">"c847"</definedName>
    <definedName name="IQ_OPEB_ACCRUED_LIAB">"c3308"</definedName>
    <definedName name="IQ_OPEB_ACCRUED_LIAB_DOM">"c3306"</definedName>
    <definedName name="IQ_OPEB_ACCRUED_LIAB_FOREIGN">"c3307"</definedName>
    <definedName name="IQ_OPEB_ACCUM_OTHER_CI">"c3314"</definedName>
    <definedName name="IQ_OPEB_ACCUM_OTHER_CI_DOM">"c3312"</definedName>
    <definedName name="IQ_OPEB_ACCUM_OTHER_CI_FOREIGN">"c3313"</definedName>
    <definedName name="IQ_OPEB_ACT_NEXT">"c5774"</definedName>
    <definedName name="IQ_OPEB_ACT_NEXT_DOM">"c5772"</definedName>
    <definedName name="IQ_OPEB_ACT_NEXT_FOREIGN">"c5773"</definedName>
    <definedName name="IQ_OPEB_AMT_RECOG_NEXT">"c5783"</definedName>
    <definedName name="IQ_OPEB_AMT_RECOG_NEXT_DOM">"c5781"</definedName>
    <definedName name="IQ_OPEB_AMT_RECOG_NEXT_FOREIGN">"c5782"</definedName>
    <definedName name="IQ_OPEB_ASSETS">"c3356"</definedName>
    <definedName name="IQ_OPEB_ASSETS_ACQ">"c3347"</definedName>
    <definedName name="IQ_OPEB_ASSETS_ACQ_DOM">"c3345"</definedName>
    <definedName name="IQ_OPEB_ASSETS_ACQ_FOREIGN">"c3346"</definedName>
    <definedName name="IQ_OPEB_ASSETS_ACTUAL_RETURN">"c3332"</definedName>
    <definedName name="IQ_OPEB_ASSETS_ACTUAL_RETURN_DOM">"c3330"</definedName>
    <definedName name="IQ_OPEB_ASSETS_ACTUAL_RETURN_FOREIGN">"c3331"</definedName>
    <definedName name="IQ_OPEB_ASSETS_BEG">"c3329"</definedName>
    <definedName name="IQ_OPEB_ASSETS_BEG_DOM">"c3327"</definedName>
    <definedName name="IQ_OPEB_ASSETS_BEG_FOREIGN">"c3328"</definedName>
    <definedName name="IQ_OPEB_ASSETS_BENEFITS_PAID">"c3341"</definedName>
    <definedName name="IQ_OPEB_ASSETS_BENEFITS_PAID_DOM">"c3339"</definedName>
    <definedName name="IQ_OPEB_ASSETS_BENEFITS_PAID_FOREIGN">"c3340"</definedName>
    <definedName name="IQ_OPEB_ASSETS_CURTAIL">"c3350"</definedName>
    <definedName name="IQ_OPEB_ASSETS_CURTAIL_DOM">"c3348"</definedName>
    <definedName name="IQ_OPEB_ASSETS_CURTAIL_FOREIGN">"c3349"</definedName>
    <definedName name="IQ_OPEB_ASSETS_DOM">"c3354"</definedName>
    <definedName name="IQ_OPEB_ASSETS_EMPLOYER_CONTRIBUTIONS">"c3335"</definedName>
    <definedName name="IQ_OPEB_ASSETS_EMPLOYER_CONTRIBUTIONS_DOM">"c3333"</definedName>
    <definedName name="IQ_OPEB_ASSETS_EMPLOYER_CONTRIBUTIONS_FOREIGN">"c3334"</definedName>
    <definedName name="IQ_OPEB_ASSETS_FOREIGN">"c3355"</definedName>
    <definedName name="IQ_OPEB_ASSETS_FX_ADJ">"c3344"</definedName>
    <definedName name="IQ_OPEB_ASSETS_FX_ADJ_DOM">"c3342"</definedName>
    <definedName name="IQ_OPEB_ASSETS_FX_ADJ_FOREIGN">"c3343"</definedName>
    <definedName name="IQ_OPEB_ASSETS_OTHER_PLAN_ADJ">"c3353"</definedName>
    <definedName name="IQ_OPEB_ASSETS_OTHER_PLAN_ADJ_DOM">"c3351"</definedName>
    <definedName name="IQ_OPEB_ASSETS_OTHER_PLAN_ADJ_FOREIGN">"c3352"</definedName>
    <definedName name="IQ_OPEB_ASSETS_PARTICIP_CONTRIBUTIONS">"c3338"</definedName>
    <definedName name="IQ_OPEB_ASSETS_PARTICIP_CONTRIBUTIONS_DOM">"c3336"</definedName>
    <definedName name="IQ_OPEB_ASSETS_PARTICIP_CONTRIBUTIONS_FOREIGN">"c3337"</definedName>
    <definedName name="IQ_OPEB_BENEFIT_INFO_DATE">"c3410"</definedName>
    <definedName name="IQ_OPEB_BENEFIT_INFO_DATE_DOM">"c3408"</definedName>
    <definedName name="IQ_OPEB_BENEFIT_INFO_DATE_FOREIGN">"c3409"</definedName>
    <definedName name="IQ_OPEB_BREAKDOWN_EQ">"c3275"</definedName>
    <definedName name="IQ_OPEB_BREAKDOWN_EQ_DOM">"c3273"</definedName>
    <definedName name="IQ_OPEB_BREAKDOWN_EQ_FOREIGN">"c3274"</definedName>
    <definedName name="IQ_OPEB_BREAKDOWN_FI">"c3278"</definedName>
    <definedName name="IQ_OPEB_BREAKDOWN_FI_DOM">"c3276"</definedName>
    <definedName name="IQ_OPEB_BREAKDOWN_FI_FOREIGN">"c3277"</definedName>
    <definedName name="IQ_OPEB_BREAKDOWN_OTHER">"c3284"</definedName>
    <definedName name="IQ_OPEB_BREAKDOWN_OTHER_DOM">"c3282"</definedName>
    <definedName name="IQ_OPEB_BREAKDOWN_OTHER_FOREIGN">"c3283"</definedName>
    <definedName name="IQ_OPEB_BREAKDOWN_PCT_EQ">"c3263"</definedName>
    <definedName name="IQ_OPEB_BREAKDOWN_PCT_EQ_DOM">"c3261"</definedName>
    <definedName name="IQ_OPEB_BREAKDOWN_PCT_EQ_FOREIGN">"c3262"</definedName>
    <definedName name="IQ_OPEB_BREAKDOWN_PCT_FI">"c3266"</definedName>
    <definedName name="IQ_OPEB_BREAKDOWN_PCT_FI_DOM">"c3264"</definedName>
    <definedName name="IQ_OPEB_BREAKDOWN_PCT_FI_FOREIGN">"c3265"</definedName>
    <definedName name="IQ_OPEB_BREAKDOWN_PCT_OTHER">"c3272"</definedName>
    <definedName name="IQ_OPEB_BREAKDOWN_PCT_OTHER_DOM">"c3270"</definedName>
    <definedName name="IQ_OPEB_BREAKDOWN_PCT_OTHER_FOREIGN">"c3271"</definedName>
    <definedName name="IQ_OPEB_BREAKDOWN_PCT_RE">"c3269"</definedName>
    <definedName name="IQ_OPEB_BREAKDOWN_PCT_RE_DOM">"c3267"</definedName>
    <definedName name="IQ_OPEB_BREAKDOWN_PCT_RE_FOREIGN">"c3268"</definedName>
    <definedName name="IQ_OPEB_BREAKDOWN_RE">"c3281"</definedName>
    <definedName name="IQ_OPEB_BREAKDOWN_RE_DOM">"c3279"</definedName>
    <definedName name="IQ_OPEB_BREAKDOWN_RE_FOREIGN">"c3280"</definedName>
    <definedName name="IQ_OPEB_CI_ACT">"c5759"</definedName>
    <definedName name="IQ_OPEB_CI_ACT_DOM">"c5757"</definedName>
    <definedName name="IQ_OPEB_CI_ACT_FOREIGN">"c5758"</definedName>
    <definedName name="IQ_OPEB_CI_NET_AMT_RECOG">"c5771"</definedName>
    <definedName name="IQ_OPEB_CI_NET_AMT_RECOG_DOM">"c5769"</definedName>
    <definedName name="IQ_OPEB_CI_NET_AMT_RECOG_FOREIGN">"c5770"</definedName>
    <definedName name="IQ_OPEB_CI_OTHER_MISC_ADJ">"c5768"</definedName>
    <definedName name="IQ_OPEB_CI_OTHER_MISC_ADJ_DOM">"c5766"</definedName>
    <definedName name="IQ_OPEB_CI_OTHER_MISC_ADJ_FOREIGN">"c5767"</definedName>
    <definedName name="IQ_OPEB_CI_PRIOR_SERVICE">"c5762"</definedName>
    <definedName name="IQ_OPEB_CI_PRIOR_SERVICE_DOM">"c5760"</definedName>
    <definedName name="IQ_OPEB_CI_PRIOR_SERVICE_FOREIGN">"c5761"</definedName>
    <definedName name="IQ_OPEB_CI_TRANSITION">"c5765"</definedName>
    <definedName name="IQ_OPEB_CI_TRANSITION_DOM">"c5763"</definedName>
    <definedName name="IQ_OPEB_CI_TRANSITION_FOREIGN">"c5764"</definedName>
    <definedName name="IQ_OPEB_CL">"c5789"</definedName>
    <definedName name="IQ_OPEB_CL_DOM">"c5787"</definedName>
    <definedName name="IQ_OPEB_CL_FOREIGN">"c5788"</definedName>
    <definedName name="IQ_OPEB_DECREASE_EFFECT_PBO">"c3458"</definedName>
    <definedName name="IQ_OPEB_DECREASE_EFFECT_PBO_DOM">"c3456"</definedName>
    <definedName name="IQ_OPEB_DECREASE_EFFECT_PBO_FOREIGN">"c3457"</definedName>
    <definedName name="IQ_OPEB_DECREASE_EFFECT_SERVICE_INT_COST">"c3455"</definedName>
    <definedName name="IQ_OPEB_DECREASE_EFFECT_SERVICE_INT_COST_DOM">"c3453"</definedName>
    <definedName name="IQ_OPEB_DECREASE_EFFECT_SERVICE_INT_COST_FOREIGN">"c3454"</definedName>
    <definedName name="IQ_OPEB_DISC_RATE_MAX">"c3422"</definedName>
    <definedName name="IQ_OPEB_DISC_RATE_MAX_DOM">"c3420"</definedName>
    <definedName name="IQ_OPEB_DISC_RATE_MAX_FOREIGN">"c3421"</definedName>
    <definedName name="IQ_OPEB_DISC_RATE_MIN">"c3419"</definedName>
    <definedName name="IQ_OPEB_DISC_RATE_MIN_DOM">"c3417"</definedName>
    <definedName name="IQ_OPEB_DISC_RATE_MIN_FOREIGN">"c3418"</definedName>
    <definedName name="IQ_OPEB_EST_BENEFIT_1YR">"c3287"</definedName>
    <definedName name="IQ_OPEB_EST_BENEFIT_1YR_DOM">"c3285"</definedName>
    <definedName name="IQ_OPEB_EST_BENEFIT_1YR_FOREIGN">"c3286"</definedName>
    <definedName name="IQ_OPEB_EST_BENEFIT_2YR">"c3290"</definedName>
    <definedName name="IQ_OPEB_EST_BENEFIT_2YR_DOM">"c3288"</definedName>
    <definedName name="IQ_OPEB_EST_BENEFIT_2YR_FOREIGN">"c3289"</definedName>
    <definedName name="IQ_OPEB_EST_BENEFIT_3YR">"c3293"</definedName>
    <definedName name="IQ_OPEB_EST_BENEFIT_3YR_DOM">"c3291"</definedName>
    <definedName name="IQ_OPEB_EST_BENEFIT_3YR_FOREIGN">"c3292"</definedName>
    <definedName name="IQ_OPEB_EST_BENEFIT_4YR">"c3296"</definedName>
    <definedName name="IQ_OPEB_EST_BENEFIT_4YR_DOM">"c3294"</definedName>
    <definedName name="IQ_OPEB_EST_BENEFIT_4YR_FOREIGN">"c3295"</definedName>
    <definedName name="IQ_OPEB_EST_BENEFIT_5YR">"c3299"</definedName>
    <definedName name="IQ_OPEB_EST_BENEFIT_5YR_DOM">"c3297"</definedName>
    <definedName name="IQ_OPEB_EST_BENEFIT_5YR_FOREIGN">"c3298"</definedName>
    <definedName name="IQ_OPEB_EST_BENEFIT_AFTER5">"c3302"</definedName>
    <definedName name="IQ_OPEB_EST_BENEFIT_AFTER5_DOM">"c3300"</definedName>
    <definedName name="IQ_OPEB_EST_BENEFIT_AFTER5_FOREIGN">"c3301"</definedName>
    <definedName name="IQ_OPEB_EXP_RATE_RETURN_MAX">"c3434"</definedName>
    <definedName name="IQ_OPEB_EXP_RATE_RETURN_MAX_DOM">"c3432"</definedName>
    <definedName name="IQ_OPEB_EXP_RATE_RETURN_MAX_FOREIGN">"c3433"</definedName>
    <definedName name="IQ_OPEB_EXP_RATE_RETURN_MIN">"c3431"</definedName>
    <definedName name="IQ_OPEB_EXP_RATE_RETURN_MIN_DOM">"c3429"</definedName>
    <definedName name="IQ_OPEB_EXP_RATE_RETURN_MIN_FOREIGN">"c3430"</definedName>
    <definedName name="IQ_OPEB_EXP_RETURN">"c3398"</definedName>
    <definedName name="IQ_OPEB_EXP_RETURN_DOM">"c3396"</definedName>
    <definedName name="IQ_OPEB_EXP_RETURN_FOREIGN">"c3397"</definedName>
    <definedName name="IQ_OPEB_HEALTH_COST_TREND_INITIAL">"c3413"</definedName>
    <definedName name="IQ_OPEB_HEALTH_COST_TREND_INITIAL_DOM">"c3411"</definedName>
    <definedName name="IQ_OPEB_HEALTH_COST_TREND_INITIAL_FOREIGN">"c3412"</definedName>
    <definedName name="IQ_OPEB_HEALTH_COST_TREND_ULTIMATE">"c3416"</definedName>
    <definedName name="IQ_OPEB_HEALTH_COST_TREND_ULTIMATE_DOM">"c3414"</definedName>
    <definedName name="IQ_OPEB_HEALTH_COST_TREND_ULTIMATE_FOREIGN">"c3415"</definedName>
    <definedName name="IQ_OPEB_INCREASE_EFFECT_PBO">"c3452"</definedName>
    <definedName name="IQ_OPEB_INCREASE_EFFECT_PBO_DOM">"c3450"</definedName>
    <definedName name="IQ_OPEB_INCREASE_EFFECT_PBO_FOREIGN">"c3451"</definedName>
    <definedName name="IQ_OPEB_INCREASE_EFFECT_SERVICE_INT_COST">"c3449"</definedName>
    <definedName name="IQ_OPEB_INCREASE_EFFECT_SERVICE_INT_COST_DOM">"c3447"</definedName>
    <definedName name="IQ_OPEB_INCREASE_EFFECT_SERVICE_INT_COST_FOREIGN">"c3448"</definedName>
    <definedName name="IQ_OPEB_INTAN_ASSETS">"c3311"</definedName>
    <definedName name="IQ_OPEB_INTAN_ASSETS_DOM">"c3309"</definedName>
    <definedName name="IQ_OPEB_INTAN_ASSETS_FOREIGN">"c3310"</definedName>
    <definedName name="IQ_OPEB_INTEREST_COST">"c3395"</definedName>
    <definedName name="IQ_OPEB_INTEREST_COST_DOM">"c3393"</definedName>
    <definedName name="IQ_OPEB_INTEREST_COST_FOREIGN">"c3394"</definedName>
    <definedName name="IQ_OPEB_LT_ASSETS">"c5786"</definedName>
    <definedName name="IQ_OPEB_LT_ASSETS_DOM">"c5784"</definedName>
    <definedName name="IQ_OPEB_LT_ASSETS_FOREIGN">"c5785"</definedName>
    <definedName name="IQ_OPEB_LT_LIAB">"c5792"</definedName>
    <definedName name="IQ_OPEB_LT_LIAB_DOM">"c5790"</definedName>
    <definedName name="IQ_OPEB_LT_LIAB_FOREIGN">"c5791"</definedName>
    <definedName name="IQ_OPEB_NET_ASSET_RECOG">"c3326"</definedName>
    <definedName name="IQ_OPEB_NET_ASSET_RECOG_DOM">"c3324"</definedName>
    <definedName name="IQ_OPEB_NET_ASSET_RECOG_FOREIGN">"c3325"</definedName>
    <definedName name="IQ_OPEB_OBLIGATION_ACCUMULATED">"c3407"</definedName>
    <definedName name="IQ_OPEB_OBLIGATION_ACCUMULATED_DOM">"c3405"</definedName>
    <definedName name="IQ_OPEB_OBLIGATION_ACCUMULATED_FOREIGN">"c3406"</definedName>
    <definedName name="IQ_OPEB_OBLIGATION_ACQ">"c3380"</definedName>
    <definedName name="IQ_OPEB_OBLIGATION_ACQ_DOM">"c3378"</definedName>
    <definedName name="IQ_OPEB_OBLIGATION_ACQ_FOREIGN">"c3379"</definedName>
    <definedName name="IQ_OPEB_OBLIGATION_ACTUARIAL_GAIN_LOSS">"c3371"</definedName>
    <definedName name="IQ_OPEB_OBLIGATION_ACTUARIAL_GAIN_LOSS_DOM">"c3369"</definedName>
    <definedName name="IQ_OPEB_OBLIGATION_ACTUARIAL_GAIN_LOSS_FOREIGN">"c3370"</definedName>
    <definedName name="IQ_OPEB_OBLIGATION_BEG">"c3359"</definedName>
    <definedName name="IQ_OPEB_OBLIGATION_BEG_DOM">"c3357"</definedName>
    <definedName name="IQ_OPEB_OBLIGATION_BEG_FOREIGN">"c3358"</definedName>
    <definedName name="IQ_OPEB_OBLIGATION_CURTAIL">"c3383"</definedName>
    <definedName name="IQ_OPEB_OBLIGATION_CURTAIL_DOM">"c3381"</definedName>
    <definedName name="IQ_OPEB_OBLIGATION_CURTAIL_FOREIGN">"c3382"</definedName>
    <definedName name="IQ_OPEB_OBLIGATION_EMPLOYEE_CONTRIBUTIONS">"c3368"</definedName>
    <definedName name="IQ_OPEB_OBLIGATION_EMPLOYEE_CONTRIBUTIONS_DOM">"c3366"</definedName>
    <definedName name="IQ_OPEB_OBLIGATION_EMPLOYEE_CONTRIBUTIONS_FOREIGN">"c3367"</definedName>
    <definedName name="IQ_OPEB_OBLIGATION_FX_ADJ">"c3377"</definedName>
    <definedName name="IQ_OPEB_OBLIGATION_FX_ADJ_DOM">"c3375"</definedName>
    <definedName name="IQ_OPEB_OBLIGATION_FX_ADJ_FOREIGN">"c3376"</definedName>
    <definedName name="IQ_OPEB_OBLIGATION_INTEREST_COST">"c3365"</definedName>
    <definedName name="IQ_OPEB_OBLIGATION_INTEREST_COST_DOM">"c3363"</definedName>
    <definedName name="IQ_OPEB_OBLIGATION_INTEREST_COST_FOREIGN">"c3364"</definedName>
    <definedName name="IQ_OPEB_OBLIGATION_OTHER_PLAN_ADJ">"c3386"</definedName>
    <definedName name="IQ_OPEB_OBLIGATION_OTHER_PLAN_ADJ_DOM">"c3384"</definedName>
    <definedName name="IQ_OPEB_OBLIGATION_OTHER_PLAN_ADJ_FOREIGN">"c3385"</definedName>
    <definedName name="IQ_OPEB_OBLIGATION_PAID">"c3374"</definedName>
    <definedName name="IQ_OPEB_OBLIGATION_PAID_DOM">"c3372"</definedName>
    <definedName name="IQ_OPEB_OBLIGATION_PAID_FOREIGN">"c3373"</definedName>
    <definedName name="IQ_OPEB_OBLIGATION_PROJECTED">"c3389"</definedName>
    <definedName name="IQ_OPEB_OBLIGATION_PROJECTED_DOM">"c3387"</definedName>
    <definedName name="IQ_OPEB_OBLIGATION_PROJECTED_FOREIGN">"c3388"</definedName>
    <definedName name="IQ_OPEB_OBLIGATION_SERVICE_COST">"c3362"</definedName>
    <definedName name="IQ_OPEB_OBLIGATION_SERVICE_COST_DOM">"c3360"</definedName>
    <definedName name="IQ_OPEB_OBLIGATION_SERVICE_COST_FOREIGN">"c3361"</definedName>
    <definedName name="IQ_OPEB_OTHER">"c3317"</definedName>
    <definedName name="IQ_OPEB_OTHER_ADJ">"c3323"</definedName>
    <definedName name="IQ_OPEB_OTHER_ADJ_DOM">"c3321"</definedName>
    <definedName name="IQ_OPEB_OTHER_ADJ_FOREIGN">"c3322"</definedName>
    <definedName name="IQ_OPEB_OTHER_COST">"c3401"</definedName>
    <definedName name="IQ_OPEB_OTHER_COST_DOM">"c3399"</definedName>
    <definedName name="IQ_OPEB_OTHER_COST_FOREIGN">"c3400"</definedName>
    <definedName name="IQ_OPEB_OTHER_DOM">"c3315"</definedName>
    <definedName name="IQ_OPEB_OTHER_FOREIGN">"c3316"</definedName>
    <definedName name="IQ_OPEB_PBO_ASSUMED_RATE_RET_MAX">"c3440"</definedName>
    <definedName name="IQ_OPEB_PBO_ASSUMED_RATE_RET_MAX_DOM">"c3438"</definedName>
    <definedName name="IQ_OPEB_PBO_ASSUMED_RATE_RET_MAX_FOREIGN">"c3439"</definedName>
    <definedName name="IQ_OPEB_PBO_ASSUMED_RATE_RET_MIN">"c3437"</definedName>
    <definedName name="IQ_OPEB_PBO_ASSUMED_RATE_RET_MIN_DOM">"c3435"</definedName>
    <definedName name="IQ_OPEB_PBO_ASSUMED_RATE_RET_MIN_FOREIGN">"c3436"</definedName>
    <definedName name="IQ_OPEB_PBO_RATE_COMP_INCREASE_MAX">"c3446"</definedName>
    <definedName name="IQ_OPEB_PBO_RATE_COMP_INCREASE_MAX_DOM">"c3444"</definedName>
    <definedName name="IQ_OPEB_PBO_RATE_COMP_INCREASE_MAX_FOREIGN">"c3445"</definedName>
    <definedName name="IQ_OPEB_PBO_RATE_COMP_INCREASE_MIN">"c3443"</definedName>
    <definedName name="IQ_OPEB_PBO_RATE_COMP_INCREASE_MIN_DOM">"c3441"</definedName>
    <definedName name="IQ_OPEB_PBO_RATE_COMP_INCREASE_MIN_FOREIGN">"c3442"</definedName>
    <definedName name="IQ_OPEB_PREPAID_COST">"c3305"</definedName>
    <definedName name="IQ_OPEB_PREPAID_COST_DOM">"c3303"</definedName>
    <definedName name="IQ_OPEB_PREPAID_COST_FOREIGN">"c3304"</definedName>
    <definedName name="IQ_OPEB_PRIOR_SERVICE_NEXT">"c5777"</definedName>
    <definedName name="IQ_OPEB_PRIOR_SERVICE_NEXT_DOM">"c5775"</definedName>
    <definedName name="IQ_OPEB_PRIOR_SERVICE_NEXT_FOREIGN">"c5776"</definedName>
    <definedName name="IQ_OPEB_RATE_COMP_INCREASE_MAX">"c3428"</definedName>
    <definedName name="IQ_OPEB_RATE_COMP_INCREASE_MAX_DOM">"c3426"</definedName>
    <definedName name="IQ_OPEB_RATE_COMP_INCREASE_MAX_FOREIGN">"c3427"</definedName>
    <definedName name="IQ_OPEB_RATE_COMP_INCREASE_MIN">"c3425"</definedName>
    <definedName name="IQ_OPEB_RATE_COMP_INCREASE_MIN_DOM">"c3423"</definedName>
    <definedName name="IQ_OPEB_RATE_COMP_INCREASE_MIN_FOREIGN">"c3424"</definedName>
    <definedName name="IQ_OPEB_SERVICE_COST">"c3392"</definedName>
    <definedName name="IQ_OPEB_SERVICE_COST_DOM">"c3390"</definedName>
    <definedName name="IQ_OPEB_SERVICE_COST_FOREIGN">"c3391"</definedName>
    <definedName name="IQ_OPEB_TOTAL_COST">"c3404"</definedName>
    <definedName name="IQ_OPEB_TOTAL_COST_DOM">"c3402"</definedName>
    <definedName name="IQ_OPEB_TOTAL_COST_FOREIGN">"c3403"</definedName>
    <definedName name="IQ_OPEB_TRANSITION_NEXT">"c5780"</definedName>
    <definedName name="IQ_OPEB_TRANSITION_NEXT_DOM">"c5778"</definedName>
    <definedName name="IQ_OPEB_TRANSITION_NEXT_FOREIGN">"c5779"</definedName>
    <definedName name="IQ_OPEB_UNRECOG_PRIOR">"c3320"</definedName>
    <definedName name="IQ_OPEB_UNRECOG_PRIOR_DOM">"c3318"</definedName>
    <definedName name="IQ_OPEB_UNRECOG_PRIOR_FOREIGN">"c3319"</definedName>
    <definedName name="IQ_OPENED55">1</definedName>
    <definedName name="IQ_OPENPRICE">"c848"</definedName>
    <definedName name="IQ_OPER_INC">"c849"</definedName>
    <definedName name="IQ_OPER_INC_ACT_OR_EST">"c2220"</definedName>
    <definedName name="IQ_OPER_INC_ACT_OR_EST_REUT">"c5466"</definedName>
    <definedName name="IQ_OPER_INC_BR">"c850"</definedName>
    <definedName name="IQ_OPER_INC_EST">"c1688"</definedName>
    <definedName name="IQ_OPER_INC_EST_REUT">"c5340"</definedName>
    <definedName name="IQ_OPER_INC_FIN">"c851"</definedName>
    <definedName name="IQ_OPER_INC_HIGH_EST">"c1690"</definedName>
    <definedName name="IQ_OPER_INC_HIGH_EST_REUT">"c5342"</definedName>
    <definedName name="IQ_OPER_INC_INS">"c852"</definedName>
    <definedName name="IQ_OPER_INC_LOW_EST">"c1691"</definedName>
    <definedName name="IQ_OPER_INC_LOW_EST_REUT">"c5343"</definedName>
    <definedName name="IQ_OPER_INC_MARGIN">"c1448"</definedName>
    <definedName name="IQ_OPER_INC_MEDIAN_EST">"c1689"</definedName>
    <definedName name="IQ_OPER_INC_MEDIAN_EST_REUT">"c5341"</definedName>
    <definedName name="IQ_OPER_INC_NUM_EST">"c1692"</definedName>
    <definedName name="IQ_OPER_INC_NUM_EST_REUT">"c5344"</definedName>
    <definedName name="IQ_OPER_INC_RE">"c6240"</definedName>
    <definedName name="IQ_OPER_INC_REIT">"c853"</definedName>
    <definedName name="IQ_OPER_INC_STDDEV_EST">"c1693"</definedName>
    <definedName name="IQ_OPER_INC_STDDEV_EST_REUT">"c5345"</definedName>
    <definedName name="IQ_OPER_INC_UTI">"c854"</definedName>
    <definedName name="IQ_OPERATIONS_EXP">"c855"</definedName>
    <definedName name="IQ_OPTIONS_BEG_OS">"c1572"</definedName>
    <definedName name="IQ_OPTIONS_CANCELLED">"c856"</definedName>
    <definedName name="IQ_OPTIONS_END_OS">"c1573"</definedName>
    <definedName name="IQ_OPTIONS_EXERCISABLE_END_OS">"c5804"</definedName>
    <definedName name="IQ_OPTIONS_EXERCISED">"c2116"</definedName>
    <definedName name="IQ_OPTIONS_GRANTED">"c2673"</definedName>
    <definedName name="IQ_OPTIONS_ISSUED">"c857"</definedName>
    <definedName name="IQ_OPTIONS_STRIKE_PRICE_BEG_OS">"c5805"</definedName>
    <definedName name="IQ_OPTIONS_STRIKE_PRICE_CANCELLED">"c5807"</definedName>
    <definedName name="IQ_OPTIONS_STRIKE_PRICE_EXERCISABLE">"c5808"</definedName>
    <definedName name="IQ_OPTIONS_STRIKE_PRICE_EXERCISED">"c5806"</definedName>
    <definedName name="IQ_OPTIONS_STRIKE_PRICE_GRANTED">"c2678"</definedName>
    <definedName name="IQ_OPTIONS_STRIKE_PRICE_OS">"c2677"</definedName>
    <definedName name="IQ_ORDER_BACKLOG">"c2090"</definedName>
    <definedName name="IQ_OREO_1_4_RESIDENTIAL_FDIC">"c6454"</definedName>
    <definedName name="IQ_OREO_COMMERCIAL_RE_FDIC">"c6456"</definedName>
    <definedName name="IQ_OREO_CONSTRUCTION_DEVELOPMENT_FDIC">"c6457"</definedName>
    <definedName name="IQ_OREO_FARMLAND_FDIC">"c6458"</definedName>
    <definedName name="IQ_OREO_FOREIGN_FDIC">"c6460"</definedName>
    <definedName name="IQ_OREO_MULTI_FAMILY_RESIDENTIAL_FDIC">"c6455"</definedName>
    <definedName name="IQ_OTHER_ADJUST_GROSS_LOANS">"c859"</definedName>
    <definedName name="IQ_OTHER_AMORT">"c5563"</definedName>
    <definedName name="IQ_OTHER_AMORT_BNK">"c5565"</definedName>
    <definedName name="IQ_OTHER_AMORT_BR">"c5566"</definedName>
    <definedName name="IQ_OTHER_AMORT_FIN">"c5567"</definedName>
    <definedName name="IQ_OTHER_AMORT_INS">"c5568"</definedName>
    <definedName name="IQ_OTHER_AMORT_RE">"c6287"</definedName>
    <definedName name="IQ_OTHER_AMORT_REIT">"c5569"</definedName>
    <definedName name="IQ_OTHER_AMORT_UTI">"c5570"</definedName>
    <definedName name="IQ_OTHER_ASSETS">"c860"</definedName>
    <definedName name="IQ_OTHER_ASSETS_BNK">"c861"</definedName>
    <definedName name="IQ_OTHER_ASSETS_BR">"c862"</definedName>
    <definedName name="IQ_OTHER_ASSETS_FDIC">"c6338"</definedName>
    <definedName name="IQ_OTHER_ASSETS_FIN">"c863"</definedName>
    <definedName name="IQ_OTHER_ASSETS_INS">"c864"</definedName>
    <definedName name="IQ_OTHER_ASSETS_RE">"c6241"</definedName>
    <definedName name="IQ_OTHER_ASSETS_REIT">"c865"</definedName>
    <definedName name="IQ_OTHER_ASSETS_SERV_RIGHTS">"c2243"</definedName>
    <definedName name="IQ_OTHER_ASSETS_UTI">"c866"</definedName>
    <definedName name="IQ_OTHER_BEARING_LIAB">"c1608"</definedName>
    <definedName name="IQ_OTHER_BENEFITS_OBLIGATION">"c867"</definedName>
    <definedName name="IQ_OTHER_BORROWED_FUNDS_FDIC">"c6345"</definedName>
    <definedName name="IQ_OTHER_CA">"c868"</definedName>
    <definedName name="IQ_OTHER_CA_SUPPL">"c869"</definedName>
    <definedName name="IQ_OTHER_CA_SUPPL_BNK">"c870"</definedName>
    <definedName name="IQ_OTHER_CA_SUPPL_BR">"c871"</definedName>
    <definedName name="IQ_OTHER_CA_SUPPL_FIN">"c872"</definedName>
    <definedName name="IQ_OTHER_CA_SUPPL_INS">"c873"</definedName>
    <definedName name="IQ_OTHER_CA_SUPPL_RE">"c6242"</definedName>
    <definedName name="IQ_OTHER_CA_SUPPL_REIT">"c874"</definedName>
    <definedName name="IQ_OTHER_CA_SUPPL_UTI">"c875"</definedName>
    <definedName name="IQ_OTHER_CA_UTI">"c876"</definedName>
    <definedName name="IQ_OTHER_CL">"c877"</definedName>
    <definedName name="IQ_OTHER_CL_SUPPL">"c878"</definedName>
    <definedName name="IQ_OTHER_CL_SUPPL_BNK">"c879"</definedName>
    <definedName name="IQ_OTHER_CL_SUPPL_BR">"c880"</definedName>
    <definedName name="IQ_OTHER_CL_SUPPL_FIN">"c881"</definedName>
    <definedName name="IQ_OTHER_CL_SUPPL_INS">"C6021"</definedName>
    <definedName name="IQ_OTHER_CL_SUPPL_RE">"c6243"</definedName>
    <definedName name="IQ_OTHER_CL_SUPPL_REIT">"c882"</definedName>
    <definedName name="IQ_OTHER_CL_SUPPL_UTI">"c883"</definedName>
    <definedName name="IQ_OTHER_CL_UTI">"c884"</definedName>
    <definedName name="IQ_OTHER_COMPREHENSIVE_INCOME_FDIC">"c6503"</definedName>
    <definedName name="IQ_OTHER_CURRENT_ASSETS">"c1403"</definedName>
    <definedName name="IQ_OTHER_CURRENT_LIAB">"c1404"</definedName>
    <definedName name="IQ_OTHER_DEBT">"c2507"</definedName>
    <definedName name="IQ_OTHER_DEBT_PCT">"c2508"</definedName>
    <definedName name="IQ_OTHER_DEP">"c885"</definedName>
    <definedName name="IQ_OTHER_DEPOSITORY_INSTITUTIONS_LOANS_FDIC">"c6436"</definedName>
    <definedName name="IQ_OTHER_DEPOSITORY_INSTITUTIONS_TOTAL_LOANS_FOREIGN_FDIC">"c6442"</definedName>
    <definedName name="IQ_OTHER_DOMESTIC_DEBT_SECURITIES_FDIC">"c6302"</definedName>
    <definedName name="IQ_OTHER_EARNING">"c1609"</definedName>
    <definedName name="IQ_OTHER_EQUITY">"c886"</definedName>
    <definedName name="IQ_OTHER_EQUITY_BNK">"c887"</definedName>
    <definedName name="IQ_OTHER_EQUITY_BR">"c888"</definedName>
    <definedName name="IQ_OTHER_EQUITY_FIN">"c889"</definedName>
    <definedName name="IQ_OTHER_EQUITY_INS">"c890"</definedName>
    <definedName name="IQ_OTHER_EQUITY_RE">"c6244"</definedName>
    <definedName name="IQ_OTHER_EQUITY_REIT">"c891"</definedName>
    <definedName name="IQ_OTHER_EQUITY_UTI">"c892"</definedName>
    <definedName name="IQ_OTHER_FINANCE_ACT">"c893"</definedName>
    <definedName name="IQ_OTHER_FINANCE_ACT_BNK">"c894"</definedName>
    <definedName name="IQ_OTHER_FINANCE_ACT_BR">"c895"</definedName>
    <definedName name="IQ_OTHER_FINANCE_ACT_FIN">"c896"</definedName>
    <definedName name="IQ_OTHER_FINANCE_ACT_INS">"c897"</definedName>
    <definedName name="IQ_OTHER_FINANCE_ACT_RE">"c6245"</definedName>
    <definedName name="IQ_OTHER_FINANCE_ACT_REIT">"c898"</definedName>
    <definedName name="IQ_OTHER_FINANCE_ACT_SUPPL">"c899"</definedName>
    <definedName name="IQ_OTHER_FINANCE_ACT_SUPPL_BNK">"c900"</definedName>
    <definedName name="IQ_OTHER_FINANCE_ACT_SUPPL_BR">"c901"</definedName>
    <definedName name="IQ_OTHER_FINANCE_ACT_SUPPL_FIN">"c902"</definedName>
    <definedName name="IQ_OTHER_FINANCE_ACT_SUPPL_INS">"c903"</definedName>
    <definedName name="IQ_OTHER_FINANCE_ACT_SUPPL_RE">"c6246"</definedName>
    <definedName name="IQ_OTHER_FINANCE_ACT_SUPPL_REIT">"c904"</definedName>
    <definedName name="IQ_OTHER_FINANCE_ACT_SUPPL_UTI">"c905"</definedName>
    <definedName name="IQ_OTHER_FINANCE_ACT_UTI">"c906"</definedName>
    <definedName name="IQ_OTHER_INSURANCE_FEES_FDIC">"c6672"</definedName>
    <definedName name="IQ_OTHER_INTAN">"c907"</definedName>
    <definedName name="IQ_OTHER_INTAN_BNK">"c908"</definedName>
    <definedName name="IQ_OTHER_INTAN_BR">"c909"</definedName>
    <definedName name="IQ_OTHER_INTAN_FIN">"c910"</definedName>
    <definedName name="IQ_OTHER_INTAN_INS">"c911"</definedName>
    <definedName name="IQ_OTHER_INTAN_RE">"c6247"</definedName>
    <definedName name="IQ_OTHER_INTAN_REIT">"c912"</definedName>
    <definedName name="IQ_OTHER_INTAN_UTI">"c913"</definedName>
    <definedName name="IQ_OTHER_INTANGIBLE_FDIC">"c6337"</definedName>
    <definedName name="IQ_OTHER_INV">"c914"</definedName>
    <definedName name="IQ_OTHER_INVEST">"c915"</definedName>
    <definedName name="IQ_OTHER_INVEST_ACT">"c916"</definedName>
    <definedName name="IQ_OTHER_INVEST_ACT_BNK">"c917"</definedName>
    <definedName name="IQ_OTHER_INVEST_ACT_BR">"c918"</definedName>
    <definedName name="IQ_OTHER_INVEST_ACT_FIN">"c919"</definedName>
    <definedName name="IQ_OTHER_INVEST_ACT_INS">"c920"</definedName>
    <definedName name="IQ_OTHER_INVEST_ACT_RE">"c6248"</definedName>
    <definedName name="IQ_OTHER_INVEST_ACT_REIT">"c921"</definedName>
    <definedName name="IQ_OTHER_INVEST_ACT_SUPPL">"c922"</definedName>
    <definedName name="IQ_OTHER_INVEST_ACT_SUPPL_BNK">"c923"</definedName>
    <definedName name="IQ_OTHER_INVEST_ACT_SUPPL_BR">"c924"</definedName>
    <definedName name="IQ_OTHER_INVEST_ACT_SUPPL_FIN">"c925"</definedName>
    <definedName name="IQ_OTHER_INVEST_ACT_SUPPL_INS">"c926"</definedName>
    <definedName name="IQ_OTHER_INVEST_ACT_SUPPL_RE">"c6249"</definedName>
    <definedName name="IQ_OTHER_INVEST_ACT_SUPPL_REIT">"c927"</definedName>
    <definedName name="IQ_OTHER_INVEST_ACT_SUPPL_UTI">"c928"</definedName>
    <definedName name="IQ_OTHER_INVEST_ACT_UTI">"c929"</definedName>
    <definedName name="IQ_OTHER_INVESTING">"c1408"</definedName>
    <definedName name="IQ_OTHER_LIAB">"c930"</definedName>
    <definedName name="IQ_OTHER_LIAB_BNK">"c931"</definedName>
    <definedName name="IQ_OTHER_LIAB_BR">"c932"</definedName>
    <definedName name="IQ_OTHER_LIAB_FIN">"c933"</definedName>
    <definedName name="IQ_OTHER_LIAB_INS">"c934"</definedName>
    <definedName name="IQ_OTHER_LIAB_LT">"c935"</definedName>
    <definedName name="IQ_OTHER_LIAB_LT_BNK">"c936"</definedName>
    <definedName name="IQ_OTHER_LIAB_LT_BR">"c937"</definedName>
    <definedName name="IQ_OTHER_LIAB_LT_FIN">"c938"</definedName>
    <definedName name="IQ_OTHER_LIAB_LT_INS">"c939"</definedName>
    <definedName name="IQ_OTHER_LIAB_LT_RE">"c6250"</definedName>
    <definedName name="IQ_OTHER_LIAB_LT_REIT">"c940"</definedName>
    <definedName name="IQ_OTHER_LIAB_LT_UTI">"c941"</definedName>
    <definedName name="IQ_OTHER_LIAB_RE">"c6251"</definedName>
    <definedName name="IQ_OTHER_LIAB_REIT">"c942"</definedName>
    <definedName name="IQ_OTHER_LIAB_UTI">"c943"</definedName>
    <definedName name="IQ_OTHER_LIAB_WRITTEN">"c944"</definedName>
    <definedName name="IQ_OTHER_LIABILITIES_FDIC">"c6347"</definedName>
    <definedName name="IQ_OTHER_LOANS">"c945"</definedName>
    <definedName name="IQ_OTHER_LOANS_CHARGE_OFFS_FDIC">"c6601"</definedName>
    <definedName name="IQ_OTHER_LOANS_FOREIGN_FDIC">"c6446"</definedName>
    <definedName name="IQ_OTHER_LOANS_LEASES_FDIC">"c6322"</definedName>
    <definedName name="IQ_OTHER_LOANS_NET_CHARGE_OFFS_FDIC">"c6639"</definedName>
    <definedName name="IQ_OTHER_LOANS_RECOVERIES_FDIC">"c6620"</definedName>
    <definedName name="IQ_OTHER_LOANS_TOTAL_FDIC">"c6432"</definedName>
    <definedName name="IQ_OTHER_LONG_TERM">"c1409"</definedName>
    <definedName name="IQ_OTHER_LT_ASSETS">"c946"</definedName>
    <definedName name="IQ_OTHER_LT_ASSETS_BNK">"c947"</definedName>
    <definedName name="IQ_OTHER_LT_ASSETS_BR">"c948"</definedName>
    <definedName name="IQ_OTHER_LT_ASSETS_FIN">"c949"</definedName>
    <definedName name="IQ_OTHER_LT_ASSETS_INS">"c950"</definedName>
    <definedName name="IQ_OTHER_LT_ASSETS_RE">"c6252"</definedName>
    <definedName name="IQ_OTHER_LT_ASSETS_REIT">"c951"</definedName>
    <definedName name="IQ_OTHER_LT_ASSETS_UTI">"c952"</definedName>
    <definedName name="IQ_OTHER_NET">"c1453"</definedName>
    <definedName name="IQ_OTHER_NON_INT_EXP">"c953"</definedName>
    <definedName name="IQ_OTHER_NON_INT_EXP_FDIC">"c6578"</definedName>
    <definedName name="IQ_OTHER_NON_INT_EXP_TOTAL">"c954"</definedName>
    <definedName name="IQ_OTHER_NON_INT_EXPENSE_FDIC">"c6679"</definedName>
    <definedName name="IQ_OTHER_NON_INT_INC">"c955"</definedName>
    <definedName name="IQ_OTHER_NON_INT_INC_FDIC">"c6676"</definedName>
    <definedName name="IQ_OTHER_NON_OPER_EXP">"c956"</definedName>
    <definedName name="IQ_OTHER_NON_OPER_EXP_BR">"c957"</definedName>
    <definedName name="IQ_OTHER_NON_OPER_EXP_FIN">"c958"</definedName>
    <definedName name="IQ_OTHER_NON_OPER_EXP_INS">"c959"</definedName>
    <definedName name="IQ_OTHER_NON_OPER_EXP_RE">"c6253"</definedName>
    <definedName name="IQ_OTHER_NON_OPER_EXP_REIT">"c960"</definedName>
    <definedName name="IQ_OTHER_NON_OPER_EXP_SUPPL">"c961"</definedName>
    <definedName name="IQ_OTHER_NON_OPER_EXP_SUPPL_BR">"c962"</definedName>
    <definedName name="IQ_OTHER_NON_OPER_EXP_SUPPL_FIN">"c963"</definedName>
    <definedName name="IQ_OTHER_NON_OPER_EXP_SUPPL_INS">"c964"</definedName>
    <definedName name="IQ_OTHER_NON_OPER_EXP_SUPPL_RE">"c6254"</definedName>
    <definedName name="IQ_OTHER_NON_OPER_EXP_SUPPL_REIT">"c965"</definedName>
    <definedName name="IQ_OTHER_NON_OPER_EXP_SUPPL_UTI">"c966"</definedName>
    <definedName name="IQ_OTHER_NON_OPER_EXP_UTI">"c967"</definedName>
    <definedName name="IQ_OTHER_OFF_BS_LIAB_FDIC">"c6533"</definedName>
    <definedName name="IQ_OTHER_OPER">"c982"</definedName>
    <definedName name="IQ_OTHER_OPER_ACT">"c983"</definedName>
    <definedName name="IQ_OTHER_OPER_ACT_BNK">"c984"</definedName>
    <definedName name="IQ_OTHER_OPER_ACT_BR">"c985"</definedName>
    <definedName name="IQ_OTHER_OPER_ACT_FIN">"c986"</definedName>
    <definedName name="IQ_OTHER_OPER_ACT_INS">"c987"</definedName>
    <definedName name="IQ_OTHER_OPER_ACT_RE">"c6255"</definedName>
    <definedName name="IQ_OTHER_OPER_ACT_REIT">"c988"</definedName>
    <definedName name="IQ_OTHER_OPER_ACT_UTI">"c989"</definedName>
    <definedName name="IQ_OTHER_OPER_BR">"c990"</definedName>
    <definedName name="IQ_OTHER_OPER_FIN">"c991"</definedName>
    <definedName name="IQ_OTHER_OPER_INS">"c992"</definedName>
    <definedName name="IQ_OTHER_OPER_RE">"c6256"</definedName>
    <definedName name="IQ_OTHER_OPER_REIT">"c993"</definedName>
    <definedName name="IQ_OTHER_OPER_SUPPL_BR">"c994"</definedName>
    <definedName name="IQ_OTHER_OPER_SUPPL_FIN">"c995"</definedName>
    <definedName name="IQ_OTHER_OPER_SUPPL_INS">"c996"</definedName>
    <definedName name="IQ_OTHER_OPER_SUPPL_RE">"c6257"</definedName>
    <definedName name="IQ_OTHER_OPER_SUPPL_REIT">"c997"</definedName>
    <definedName name="IQ_OTHER_OPER_SUPPL_UTI">"c998"</definedName>
    <definedName name="IQ_OTHER_OPER_TOT_BNK">"c999"</definedName>
    <definedName name="IQ_OTHER_OPER_TOT_BR">"c1000"</definedName>
    <definedName name="IQ_OTHER_OPER_TOT_FIN">"c1001"</definedName>
    <definedName name="IQ_OTHER_OPER_TOT_INS">"c1002"</definedName>
    <definedName name="IQ_OTHER_OPER_TOT_RE">"c6258"</definedName>
    <definedName name="IQ_OTHER_OPER_TOT_REIT">"c1003"</definedName>
    <definedName name="IQ_OTHER_OPER_TOT_UTI">"c1004"</definedName>
    <definedName name="IQ_OTHER_OPER_UTI">"c1005"</definedName>
    <definedName name="IQ_OTHER_OPTIONS_BEG_OS">"c2686"</definedName>
    <definedName name="IQ_OTHER_OPTIONS_CANCELLED">"c2689"</definedName>
    <definedName name="IQ_OTHER_OPTIONS_END_OS">"c2690"</definedName>
    <definedName name="IQ_OTHER_OPTIONS_EXERCISABLE_END_OS">"c5814"</definedName>
    <definedName name="IQ_OTHER_OPTIONS_EXERCISED">"c2688"</definedName>
    <definedName name="IQ_OTHER_OPTIONS_GRANTED">"c2687"</definedName>
    <definedName name="IQ_OTHER_OPTIONS_STRIKE_PRICE_BEG_OS">"c5815"</definedName>
    <definedName name="IQ_OTHER_OPTIONS_STRIKE_PRICE_CANCELLED">"c5817"</definedName>
    <definedName name="IQ_OTHER_OPTIONS_STRIKE_PRICE_EXERCISABLE">"c5818"</definedName>
    <definedName name="IQ_OTHER_OPTIONS_STRIKE_PRICE_EXERCISED">"c5816"</definedName>
    <definedName name="IQ_OTHER_OPTIONS_STRIKE_PRICE_OS">"c2691"</definedName>
    <definedName name="IQ_OTHER_OUTSTANDING_BS_DATE">"c1972"</definedName>
    <definedName name="IQ_OTHER_OUTSTANDING_FILING_DATE">"c1974"</definedName>
    <definedName name="IQ_OTHER_PC_WRITTEN">"c1006"</definedName>
    <definedName name="IQ_OTHER_RE_OWNED_FDIC">"c6330"</definedName>
    <definedName name="IQ_OTHER_REAL_ESTATE">"c1007"</definedName>
    <definedName name="IQ_OTHER_RECEIV">"c1008"</definedName>
    <definedName name="IQ_OTHER_RECEIV_INS">"c1009"</definedName>
    <definedName name="IQ_OTHER_REV">"c1010"</definedName>
    <definedName name="IQ_OTHER_REV_BR">"c1011"</definedName>
    <definedName name="IQ_OTHER_REV_FIN">"c1012"</definedName>
    <definedName name="IQ_OTHER_REV_INS">"c1013"</definedName>
    <definedName name="IQ_OTHER_REV_RE">"c6259"</definedName>
    <definedName name="IQ_OTHER_REV_REIT">"c1014"</definedName>
    <definedName name="IQ_OTHER_REV_SUPPL">"c1015"</definedName>
    <definedName name="IQ_OTHER_REV_SUPPL_BR">"c1016"</definedName>
    <definedName name="IQ_OTHER_REV_SUPPL_FIN">"c1017"</definedName>
    <definedName name="IQ_OTHER_REV_SUPPL_INS">"c1018"</definedName>
    <definedName name="IQ_OTHER_REV_SUPPL_RE">"c6260"</definedName>
    <definedName name="IQ_OTHER_REV_SUPPL_REIT">"c1019"</definedName>
    <definedName name="IQ_OTHER_REV_SUPPL_UTI">"c1020"</definedName>
    <definedName name="IQ_OTHER_REV_UTI">"c1021"</definedName>
    <definedName name="IQ_OTHER_REVENUE">"c1410"</definedName>
    <definedName name="IQ_OTHER_SAVINGS_DEPOSITS_FDIC">"c6554"</definedName>
    <definedName name="IQ_OTHER_STRIKE_PRICE_GRANTED">"c2692"</definedName>
    <definedName name="IQ_OTHER_TRANSACTIONS_FDIC">"c6504"</definedName>
    <definedName name="IQ_OTHER_UNDRAWN">"c2522"</definedName>
    <definedName name="IQ_OTHER_UNUSED_COMMITMENTS_FDIC">"c6530"</definedName>
    <definedName name="IQ_OTHER_UNUSUAL">"c1488"</definedName>
    <definedName name="IQ_OTHER_UNUSUAL_BNK">"c1560"</definedName>
    <definedName name="IQ_OTHER_UNUSUAL_BR">"c1561"</definedName>
    <definedName name="IQ_OTHER_UNUSUAL_FIN">"c1562"</definedName>
    <definedName name="IQ_OTHER_UNUSUAL_INS">"c1563"</definedName>
    <definedName name="IQ_OTHER_UNUSUAL_RE">"c6282"</definedName>
    <definedName name="IQ_OTHER_UNUSUAL_REIT">"c1564"</definedName>
    <definedName name="IQ_OTHER_UNUSUAL_SUPPL">"c1494"</definedName>
    <definedName name="IQ_OTHER_UNUSUAL_SUPPL_BNK">"c1495"</definedName>
    <definedName name="IQ_OTHER_UNUSUAL_SUPPL_BR">"c1496"</definedName>
    <definedName name="IQ_OTHER_UNUSUAL_SUPPL_FIN">"c1497"</definedName>
    <definedName name="IQ_OTHER_UNUSUAL_SUPPL_INS">"c1498"</definedName>
    <definedName name="IQ_OTHER_UNUSUAL_SUPPL_RE">"c6281"</definedName>
    <definedName name="IQ_OTHER_UNUSUAL_SUPPL_REIT">"c1499"</definedName>
    <definedName name="IQ_OTHER_UNUSUAL_SUPPL_UTI">"c1500"</definedName>
    <definedName name="IQ_OTHER_UNUSUAL_UTI">"c1565"</definedName>
    <definedName name="IQ_OTHER_WARRANTS_BEG_OS">"c2712"</definedName>
    <definedName name="IQ_OTHER_WARRANTS_CANCELLED">"c2715"</definedName>
    <definedName name="IQ_OTHER_WARRANTS_END_OS">"c2716"</definedName>
    <definedName name="IQ_OTHER_WARRANTS_EXERCISED">"c2714"</definedName>
    <definedName name="IQ_OTHER_WARRANTS_ISSUED">"c2713"</definedName>
    <definedName name="IQ_OTHER_WARRANTS_STRIKE_PRICE_ISSUED">"c2718"</definedName>
    <definedName name="IQ_OTHER_WARRANTS_STRIKE_PRICE_OS">"c2717"</definedName>
    <definedName name="IQ_OUTSTANDING_BS_DATE">"c2128"</definedName>
    <definedName name="IQ_OUTSTANDING_FILING_DATE">"c1023"</definedName>
    <definedName name="IQ_OVER_FIFETEEN_YEAR_MORTGAGE_PASS_THROUGHS_FDIC">"c6416"</definedName>
    <definedName name="IQ_OVER_FIFTEEN_YEAR_FIXED_AND_FLOATING_RATE_FDIC">"c6424"</definedName>
    <definedName name="IQ_OVER_THREE_YEARS_FDIC">"c6418"</definedName>
    <definedName name="IQ_OWNERSHIP">"c2160"</definedName>
    <definedName name="IQ_PART_TIME">"c1024"</definedName>
    <definedName name="IQ_PARTICIPATION_POOLS_RESIDENTIAL_MORTGAGES_FDIC">"c6403"</definedName>
    <definedName name="IQ_PAST_DUE_30_1_4_FAMILY_LOANS_FDIC">"c6693"</definedName>
    <definedName name="IQ_PAST_DUE_30_AUTO_LOANS_FDIC">"c6687"</definedName>
    <definedName name="IQ_PAST_DUE_30_CL_LOANS_FDIC">"c6688"</definedName>
    <definedName name="IQ_PAST_DUE_30_CREDIT_CARDS_RECEIVABLES_FDIC">"c6690"</definedName>
    <definedName name="IQ_PAST_DUE_30_HOME_EQUITY_LINES_FDIC">"c6691"</definedName>
    <definedName name="IQ_PAST_DUE_30_OTHER_CONSUMER_LOANS_FDIC">"c6689"</definedName>
    <definedName name="IQ_PAST_DUE_30_OTHER_LOANS_FDIC">"c6692"</definedName>
    <definedName name="IQ_PAST_DUE_90_1_4_FAMILY_LOANS_FDIC">"c6700"</definedName>
    <definedName name="IQ_PAST_DUE_90_AUTO_LOANS_FDIC">"c6694"</definedName>
    <definedName name="IQ_PAST_DUE_90_CL_LOANS_FDIC">"c6695"</definedName>
    <definedName name="IQ_PAST_DUE_90_CREDIT_CARDS_RECEIVABLES_FDIC">"c6697"</definedName>
    <definedName name="IQ_PAST_DUE_90_HOME_EQUITY_LINES_FDIC">"c6698"</definedName>
    <definedName name="IQ_PAST_DUE_90_OTHER_CONSUMER_LOANS_FDIC">"c6696"</definedName>
    <definedName name="IQ_PAST_DUE_90_OTHER_LOANS_FDIC">"c6699"</definedName>
    <definedName name="IQ_PAY_ACCRUED">"c1457"</definedName>
    <definedName name="IQ_PAYOUT_RATIO">"c1900"</definedName>
    <definedName name="IQ_PBV">"c1025"</definedName>
    <definedName name="IQ_PBV_AVG">"c1026"</definedName>
    <definedName name="IQ_PC_EARNED">"c2749"</definedName>
    <definedName name="IQ_PC_GAAP_COMBINED_RATIO">"c2781"</definedName>
    <definedName name="IQ_PC_GAAP_COMBINED_RATIO_EXCL_CL">"c2782"</definedName>
    <definedName name="IQ_PC_GAAP_EXPENSE_RATIO">"c2780"</definedName>
    <definedName name="IQ_PC_GAAP_LOSS">"c2779"</definedName>
    <definedName name="IQ_PC_POLICY_BENEFITS_EXP">"c2790"</definedName>
    <definedName name="IQ_PC_STAT_COMBINED_RATIO">"c2778"</definedName>
    <definedName name="IQ_PC_STAT_COMBINED_RATIO_EXCL_DIV">"c2777"</definedName>
    <definedName name="IQ_PC_STAT_DIVIDEND_RATIO">"c2776"</definedName>
    <definedName name="IQ_PC_STAT_EXPENSE_RATIO">"c2775"</definedName>
    <definedName name="IQ_PC_STAT_LOSS_RATIO">"c2774"</definedName>
    <definedName name="IQ_PC_STATUTORY_SURPLUS">"c2770"</definedName>
    <definedName name="IQ_PC_WRITTEN">"c1027"</definedName>
    <definedName name="IQ_PE_EXCL">"c1028"</definedName>
    <definedName name="IQ_PE_EXCL_AVG">"c1029"</definedName>
    <definedName name="IQ_PE_EXCL_FWD">"c1030"</definedName>
    <definedName name="IQ_PE_EXCL_FWD_REUT">"c4049"</definedName>
    <definedName name="IQ_PE_NORMALIZED">"c2207"</definedName>
    <definedName name="IQ_PE_RATIO">"c1610"</definedName>
    <definedName name="IQ_PEG_FWD">"c1863"</definedName>
    <definedName name="IQ_PEG_FWD_REUT">"c4052"</definedName>
    <definedName name="IQ_PENSION">"c1031"</definedName>
    <definedName name="IQ_PENSION_ACCRUED_LIAB">"c3134"</definedName>
    <definedName name="IQ_PENSION_ACCRUED_LIAB_DOM">"c3132"</definedName>
    <definedName name="IQ_PENSION_ACCRUED_LIAB_FOREIGN">"c3133"</definedName>
    <definedName name="IQ_PENSION_ACCUM_OTHER_CI">"c3140"</definedName>
    <definedName name="IQ_PENSION_ACCUM_OTHER_CI_DOM">"c3138"</definedName>
    <definedName name="IQ_PENSION_ACCUM_OTHER_CI_FOREIGN">"c3139"</definedName>
    <definedName name="IQ_PENSION_ACCUMULATED_OBLIGATION">"c3570"</definedName>
    <definedName name="IQ_PENSION_ACCUMULATED_OBLIGATION_DOMESTIC">"c3568"</definedName>
    <definedName name="IQ_PENSION_ACCUMULATED_OBLIGATION_FOREIGN">"c3569"</definedName>
    <definedName name="IQ_PENSION_ACT_NEXT">"c5738"</definedName>
    <definedName name="IQ_PENSION_ACT_NEXT_DOM">"c5736"</definedName>
    <definedName name="IQ_PENSION_ACT_NEXT_FOREIGN">"c5737"</definedName>
    <definedName name="IQ_PENSION_AMT_RECOG_NEXT_DOM">"c5745"</definedName>
    <definedName name="IQ_PENSION_AMT_RECOG_NEXT_FOREIGN">"c5746"</definedName>
    <definedName name="IQ_PENSION_AMT_RECOG_PERIOD">"c5747"</definedName>
    <definedName name="IQ_PENSION_ASSETS">"c3182"</definedName>
    <definedName name="IQ_PENSION_ASSETS_ACQ">"c3173"</definedName>
    <definedName name="IQ_PENSION_ASSETS_ACQ_DOM">"c3171"</definedName>
    <definedName name="IQ_PENSION_ASSETS_ACQ_FOREIGN">"c3172"</definedName>
    <definedName name="IQ_PENSION_ASSETS_ACTUAL_RETURN">"c3158"</definedName>
    <definedName name="IQ_PENSION_ASSETS_ACTUAL_RETURN_DOM">"c3156"</definedName>
    <definedName name="IQ_PENSION_ASSETS_ACTUAL_RETURN_FOREIGN">"c3157"</definedName>
    <definedName name="IQ_PENSION_ASSETS_BEG">"c3155"</definedName>
    <definedName name="IQ_PENSION_ASSETS_BEG_DOM">"c3153"</definedName>
    <definedName name="IQ_PENSION_ASSETS_BEG_FOREIGN">"c3154"</definedName>
    <definedName name="IQ_PENSION_ASSETS_BENEFITS_PAID">"c3167"</definedName>
    <definedName name="IQ_PENSION_ASSETS_BENEFITS_PAID_DOM">"c3165"</definedName>
    <definedName name="IQ_PENSION_ASSETS_BENEFITS_PAID_FOREIGN">"c3166"</definedName>
    <definedName name="IQ_PENSION_ASSETS_CURTAIL">"c3176"</definedName>
    <definedName name="IQ_PENSION_ASSETS_CURTAIL_DOM">"c3174"</definedName>
    <definedName name="IQ_PENSION_ASSETS_CURTAIL_FOREIGN">"c3175"</definedName>
    <definedName name="IQ_PENSION_ASSETS_DOM">"c3180"</definedName>
    <definedName name="IQ_PENSION_ASSETS_EMPLOYER_CONTRIBUTIONS">"c3161"</definedName>
    <definedName name="IQ_PENSION_ASSETS_EMPLOYER_CONTRIBUTIONS_DOM">"c3159"</definedName>
    <definedName name="IQ_PENSION_ASSETS_EMPLOYER_CONTRIBUTIONS_FOREIGN">"c3160"</definedName>
    <definedName name="IQ_PENSION_ASSETS_FOREIGN">"c3181"</definedName>
    <definedName name="IQ_PENSION_ASSETS_FX_ADJ">"c3170"</definedName>
    <definedName name="IQ_PENSION_ASSETS_FX_ADJ_DOM">"c3168"</definedName>
    <definedName name="IQ_PENSION_ASSETS_FX_ADJ_FOREIGN">"c3169"</definedName>
    <definedName name="IQ_PENSION_ASSETS_OTHER_PLAN_ADJ">"c3179"</definedName>
    <definedName name="IQ_PENSION_ASSETS_OTHER_PLAN_ADJ_DOM">"c3177"</definedName>
    <definedName name="IQ_PENSION_ASSETS_OTHER_PLAN_ADJ_FOREIGN">"c3178"</definedName>
    <definedName name="IQ_PENSION_ASSETS_PARTICIP_CONTRIBUTIONS">"c3164"</definedName>
    <definedName name="IQ_PENSION_ASSETS_PARTICIP_CONTRIBUTIONS_DOM">"c3162"</definedName>
    <definedName name="IQ_PENSION_ASSETS_PARTICIP_CONTRIBUTIONS_FOREIGN">"c3163"</definedName>
    <definedName name="IQ_PENSION_BENEFIT_INFO_DATE">"c3230"</definedName>
    <definedName name="IQ_PENSION_BENEFIT_INFO_DATE_DOM">"c3228"</definedName>
    <definedName name="IQ_PENSION_BENEFIT_INFO_DATE_FOREIGN">"c3229"</definedName>
    <definedName name="IQ_PENSION_BREAKDOWN_EQ">"c3101"</definedName>
    <definedName name="IQ_PENSION_BREAKDOWN_EQ_DOM">"c3099"</definedName>
    <definedName name="IQ_PENSION_BREAKDOWN_EQ_FOREIGN">"c3100"</definedName>
    <definedName name="IQ_PENSION_BREAKDOWN_FI">"c3104"</definedName>
    <definedName name="IQ_PENSION_BREAKDOWN_FI_DOM">"c3102"</definedName>
    <definedName name="IQ_PENSION_BREAKDOWN_FI_FOREIGN">"c3103"</definedName>
    <definedName name="IQ_PENSION_BREAKDOWN_OTHER">"c3110"</definedName>
    <definedName name="IQ_PENSION_BREAKDOWN_OTHER_DOM">"c3108"</definedName>
    <definedName name="IQ_PENSION_BREAKDOWN_OTHER_FOREIGN">"c3109"</definedName>
    <definedName name="IQ_PENSION_BREAKDOWN_PCT_EQ">"c3089"</definedName>
    <definedName name="IQ_PENSION_BREAKDOWN_PCT_EQ_DOM">"c3087"</definedName>
    <definedName name="IQ_PENSION_BREAKDOWN_PCT_EQ_FOREIGN">"c3088"</definedName>
    <definedName name="IQ_PENSION_BREAKDOWN_PCT_FI">"c3092"</definedName>
    <definedName name="IQ_PENSION_BREAKDOWN_PCT_FI_DOM">"c3090"</definedName>
    <definedName name="IQ_PENSION_BREAKDOWN_PCT_FI_FOREIGN">"c3091"</definedName>
    <definedName name="IQ_PENSION_BREAKDOWN_PCT_OTHER">"c3098"</definedName>
    <definedName name="IQ_PENSION_BREAKDOWN_PCT_OTHER_DOM">"c3096"</definedName>
    <definedName name="IQ_PENSION_BREAKDOWN_PCT_OTHER_FOREIGN">"c3097"</definedName>
    <definedName name="IQ_PENSION_BREAKDOWN_PCT_RE">"c3095"</definedName>
    <definedName name="IQ_PENSION_BREAKDOWN_PCT_RE_DOM">"c3093"</definedName>
    <definedName name="IQ_PENSION_BREAKDOWN_PCT_RE_FOREIGN">"c3094"</definedName>
    <definedName name="IQ_PENSION_BREAKDOWN_RE">"c3107"</definedName>
    <definedName name="IQ_PENSION_BREAKDOWN_RE_DOM">"c3105"</definedName>
    <definedName name="IQ_PENSION_BREAKDOWN_RE_FOREIGN">"c3106"</definedName>
    <definedName name="IQ_PENSION_CI_ACT">"c5723"</definedName>
    <definedName name="IQ_PENSION_CI_ACT_DOM">"c5721"</definedName>
    <definedName name="IQ_PENSION_CI_ACT_FOREIGN">"c5722"</definedName>
    <definedName name="IQ_PENSION_CI_NET_AMT_RECOG">"c5735"</definedName>
    <definedName name="IQ_PENSION_CI_NET_AMT_RECOG_DOM">"c5733"</definedName>
    <definedName name="IQ_PENSION_CI_NET_AMT_RECOG_FOREIGN">"c5734"</definedName>
    <definedName name="IQ_PENSION_CI_OTHER_MISC_ADJ">"c5732"</definedName>
    <definedName name="IQ_PENSION_CI_OTHER_MISC_ADJ_DOM">"c5730"</definedName>
    <definedName name="IQ_PENSION_CI_OTHER_MISC_ADJ_FOREIGN">"c5731"</definedName>
    <definedName name="IQ_PENSION_CI_PRIOR_SERVICE">"c5726"</definedName>
    <definedName name="IQ_PENSION_CI_PRIOR_SERVICE_DOM">"c5724"</definedName>
    <definedName name="IQ_PENSION_CI_PRIOR_SERVICE_FOREIGN">"c5725"</definedName>
    <definedName name="IQ_PENSION_CI_TRANSITION">"c5729"</definedName>
    <definedName name="IQ_PENSION_CI_TRANSITION_DOM">"c5727"</definedName>
    <definedName name="IQ_PENSION_CI_TRANSITION_FOREIGN">"c5728"</definedName>
    <definedName name="IQ_PENSION_CL">"c5753"</definedName>
    <definedName name="IQ_PENSION_CL_DOM">"c5751"</definedName>
    <definedName name="IQ_PENSION_CL_FOREIGN">"c5752"</definedName>
    <definedName name="IQ_PENSION_CONTRIBUTION_TOTAL_COST">"c3559"</definedName>
    <definedName name="IQ_PENSION_DISC_RATE_MAX">"c3236"</definedName>
    <definedName name="IQ_PENSION_DISC_RATE_MAX_DOM">"c3234"</definedName>
    <definedName name="IQ_PENSION_DISC_RATE_MAX_FOREIGN">"c3235"</definedName>
    <definedName name="IQ_PENSION_DISC_RATE_MIN">"c3233"</definedName>
    <definedName name="IQ_PENSION_DISC_RATE_MIN_DOM">"c3231"</definedName>
    <definedName name="IQ_PENSION_DISC_RATE_MIN_FOREIGN">"c3232"</definedName>
    <definedName name="IQ_PENSION_DISCOUNT_RATE_DOMESTIC">"c3573"</definedName>
    <definedName name="IQ_PENSION_DISCOUNT_RATE_FOREIGN">"c3574"</definedName>
    <definedName name="IQ_PENSION_EST_BENEFIT_1YR">"c3113"</definedName>
    <definedName name="IQ_PENSION_EST_BENEFIT_1YR_DOM">"c3111"</definedName>
    <definedName name="IQ_PENSION_EST_BENEFIT_1YR_FOREIGN">"c3112"</definedName>
    <definedName name="IQ_PENSION_EST_BENEFIT_2YR">"c3116"</definedName>
    <definedName name="IQ_PENSION_EST_BENEFIT_2YR_DOM">"c3114"</definedName>
    <definedName name="IQ_PENSION_EST_BENEFIT_2YR_FOREIGN">"c3115"</definedName>
    <definedName name="IQ_PENSION_EST_BENEFIT_3YR">"c3119"</definedName>
    <definedName name="IQ_PENSION_EST_BENEFIT_3YR_DOM">"c3117"</definedName>
    <definedName name="IQ_PENSION_EST_BENEFIT_3YR_FOREIGN">"c3118"</definedName>
    <definedName name="IQ_PENSION_EST_BENEFIT_4YR">"c3122"</definedName>
    <definedName name="IQ_PENSION_EST_BENEFIT_4YR_DOM">"c3120"</definedName>
    <definedName name="IQ_PENSION_EST_BENEFIT_4YR_FOREIGN">"c3121"</definedName>
    <definedName name="IQ_PENSION_EST_BENEFIT_5YR">"c3125"</definedName>
    <definedName name="IQ_PENSION_EST_BENEFIT_5YR_DOM">"c3123"</definedName>
    <definedName name="IQ_PENSION_EST_BENEFIT_5YR_FOREIGN">"c3124"</definedName>
    <definedName name="IQ_PENSION_EST_BENEFIT_AFTER5">"c3128"</definedName>
    <definedName name="IQ_PENSION_EST_BENEFIT_AFTER5_DOM">"c3126"</definedName>
    <definedName name="IQ_PENSION_EST_BENEFIT_AFTER5_FOREIGN">"c3127"</definedName>
    <definedName name="IQ_PENSION_EST_CONTRIBUTIONS_NEXTYR">"c3218"</definedName>
    <definedName name="IQ_PENSION_EST_CONTRIBUTIONS_NEXTYR_DOM">"c3216"</definedName>
    <definedName name="IQ_PENSION_EST_CONTRIBUTIONS_NEXTYR_FOREIGN">"c3217"</definedName>
    <definedName name="IQ_PENSION_EXP_RATE_RETURN_MAX">"c3248"</definedName>
    <definedName name="IQ_PENSION_EXP_RATE_RETURN_MAX_DOM">"c3246"</definedName>
    <definedName name="IQ_PENSION_EXP_RATE_RETURN_MAX_FOREIGN">"c3247"</definedName>
    <definedName name="IQ_PENSION_EXP_RATE_RETURN_MIN">"c3245"</definedName>
    <definedName name="IQ_PENSION_EXP_RATE_RETURN_MIN_DOM">"c3243"</definedName>
    <definedName name="IQ_PENSION_EXP_RATE_RETURN_MIN_FOREIGN">"c3244"</definedName>
    <definedName name="IQ_PENSION_EXP_RETURN_DOMESTIC">"c3571"</definedName>
    <definedName name="IQ_PENSION_EXP_RETURN_FOREIGN">"c3572"</definedName>
    <definedName name="IQ_PENSION_INTAN_ASSETS">"c3137"</definedName>
    <definedName name="IQ_PENSION_INTAN_ASSETS_DOM">"c3135"</definedName>
    <definedName name="IQ_PENSION_INTAN_ASSETS_FOREIGN">"c3136"</definedName>
    <definedName name="IQ_PENSION_INTEREST_COST">"c3582"</definedName>
    <definedName name="IQ_PENSION_INTEREST_COST_DOM">"c3580"</definedName>
    <definedName name="IQ_PENSION_INTEREST_COST_FOREIGN">"c3581"</definedName>
    <definedName name="IQ_PENSION_LT_ASSETS">"c5750"</definedName>
    <definedName name="IQ_PENSION_LT_ASSETS_DOM">"c5748"</definedName>
    <definedName name="IQ_PENSION_LT_ASSETS_FOREIGN">"c5749"</definedName>
    <definedName name="IQ_PENSION_LT_LIAB">"c5756"</definedName>
    <definedName name="IQ_PENSION_LT_LIAB_DOM">"c5754"</definedName>
    <definedName name="IQ_PENSION_LT_LIAB_FOREIGN">"c5755"</definedName>
    <definedName name="IQ_PENSION_NET_ASSET_RECOG">"c3152"</definedName>
    <definedName name="IQ_PENSION_NET_ASSET_RECOG_DOM">"c3150"</definedName>
    <definedName name="IQ_PENSION_NET_ASSET_RECOG_FOREIGN">"c3151"</definedName>
    <definedName name="IQ_PENSION_OBLIGATION_ACQ">"c3206"</definedName>
    <definedName name="IQ_PENSION_OBLIGATION_ACQ_DOM">"c3204"</definedName>
    <definedName name="IQ_PENSION_OBLIGATION_ACQ_FOREIGN">"c3205"</definedName>
    <definedName name="IQ_PENSION_OBLIGATION_ACTUARIAL_GAIN_LOSS">"c3197"</definedName>
    <definedName name="IQ_PENSION_OBLIGATION_ACTUARIAL_GAIN_LOSS_DOM">"c3195"</definedName>
    <definedName name="IQ_PENSION_OBLIGATION_ACTUARIAL_GAIN_LOSS_FOREIGN">"c3196"</definedName>
    <definedName name="IQ_PENSION_OBLIGATION_BEG">"c3185"</definedName>
    <definedName name="IQ_PENSION_OBLIGATION_BEG_DOM">"c3183"</definedName>
    <definedName name="IQ_PENSION_OBLIGATION_BEG_FOREIGN">"c3184"</definedName>
    <definedName name="IQ_PENSION_OBLIGATION_CURTAIL">"c3209"</definedName>
    <definedName name="IQ_PENSION_OBLIGATION_CURTAIL_DOM">"c3207"</definedName>
    <definedName name="IQ_PENSION_OBLIGATION_CURTAIL_FOREIGN">"c3208"</definedName>
    <definedName name="IQ_PENSION_OBLIGATION_EMPLOYEE_CONTRIBUTIONS">"c3194"</definedName>
    <definedName name="IQ_PENSION_OBLIGATION_EMPLOYEE_CONTRIBUTIONS_DOM">"c3192"</definedName>
    <definedName name="IQ_PENSION_OBLIGATION_EMPLOYEE_CONTRIBUTIONS_FOREIGN">"c3193"</definedName>
    <definedName name="IQ_PENSION_OBLIGATION_FX_ADJ">"c3203"</definedName>
    <definedName name="IQ_PENSION_OBLIGATION_FX_ADJ_DOM">"c3201"</definedName>
    <definedName name="IQ_PENSION_OBLIGATION_FX_ADJ_FOREIGN">"c3202"</definedName>
    <definedName name="IQ_PENSION_OBLIGATION_INTEREST_COST">"c3191"</definedName>
    <definedName name="IQ_PENSION_OBLIGATION_INTEREST_COST_DOM">"c3189"</definedName>
    <definedName name="IQ_PENSION_OBLIGATION_INTEREST_COST_FOREIGN">"c3190"</definedName>
    <definedName name="IQ_PENSION_OBLIGATION_OTHER_COST">"c3555"</definedName>
    <definedName name="IQ_PENSION_OBLIGATION_OTHER_COST_DOM">"c3553"</definedName>
    <definedName name="IQ_PENSION_OBLIGATION_OTHER_COST_FOREIGN">"c3554"</definedName>
    <definedName name="IQ_PENSION_OBLIGATION_OTHER_PLAN_ADJ">"c3212"</definedName>
    <definedName name="IQ_PENSION_OBLIGATION_OTHER_PLAN_ADJ_DOM">"c3210"</definedName>
    <definedName name="IQ_PENSION_OBLIGATION_OTHER_PLAN_ADJ_FOREIGN">"c3211"</definedName>
    <definedName name="IQ_PENSION_OBLIGATION_PAID">"c3200"</definedName>
    <definedName name="IQ_PENSION_OBLIGATION_PAID_DOM">"c3198"</definedName>
    <definedName name="IQ_PENSION_OBLIGATION_PAID_FOREIGN">"c3199"</definedName>
    <definedName name="IQ_PENSION_OBLIGATION_PROJECTED">"c3215"</definedName>
    <definedName name="IQ_PENSION_OBLIGATION_PROJECTED_DOM">"c3213"</definedName>
    <definedName name="IQ_PENSION_OBLIGATION_PROJECTED_FOREIGN">"c3214"</definedName>
    <definedName name="IQ_PENSION_OBLIGATION_ROA">"c3552"</definedName>
    <definedName name="IQ_PENSION_OBLIGATION_ROA_DOM">"c3550"</definedName>
    <definedName name="IQ_PENSION_OBLIGATION_ROA_FOREIGN">"c3551"</definedName>
    <definedName name="IQ_PENSION_OBLIGATION_SERVICE_COST">"c3188"</definedName>
    <definedName name="IQ_PENSION_OBLIGATION_SERVICE_COST_DOM">"c3186"</definedName>
    <definedName name="IQ_PENSION_OBLIGATION_SERVICE_COST_FOREIGN">"c3187"</definedName>
    <definedName name="IQ_PENSION_OBLIGATION_TOTAL_COST">"c3558"</definedName>
    <definedName name="IQ_PENSION_OBLIGATION_TOTAL_COST_DOM">"c3556"</definedName>
    <definedName name="IQ_PENSION_OBLIGATION_TOTAL_COST_FOREIGN">"c3557"</definedName>
    <definedName name="IQ_PENSION_OTHER">"c3143"</definedName>
    <definedName name="IQ_PENSION_OTHER_ADJ">"c3149"</definedName>
    <definedName name="IQ_PENSION_OTHER_ADJ_DOM">"c3147"</definedName>
    <definedName name="IQ_PENSION_OTHER_ADJ_FOREIGN">"c3148"</definedName>
    <definedName name="IQ_PENSION_OTHER_DOM">"c3141"</definedName>
    <definedName name="IQ_PENSION_OTHER_FOREIGN">"c3142"</definedName>
    <definedName name="IQ_PENSION_PBO_ASSUMED_RATE_RET_MAX">"c3254"</definedName>
    <definedName name="IQ_PENSION_PBO_ASSUMED_RATE_RET_MAX_DOM">"c3252"</definedName>
    <definedName name="IQ_PENSION_PBO_ASSUMED_RATE_RET_MAX_FOREIGN">"c3253"</definedName>
    <definedName name="IQ_PENSION_PBO_ASSUMED_RATE_RET_MIN">"c3251"</definedName>
    <definedName name="IQ_PENSION_PBO_ASSUMED_RATE_RET_MIN_DOM">"c3249"</definedName>
    <definedName name="IQ_PENSION_PBO_ASSUMED_RATE_RET_MIN_FOREIGN">"c3250"</definedName>
    <definedName name="IQ_PENSION_PBO_RATE_COMP_INCREASE_MAX">"c3260"</definedName>
    <definedName name="IQ_PENSION_PBO_RATE_COMP_INCREASE_MAX_DOM">"c3258"</definedName>
    <definedName name="IQ_PENSION_PBO_RATE_COMP_INCREASE_MAX_FOREIGN">"c3259"</definedName>
    <definedName name="IQ_PENSION_PBO_RATE_COMP_INCREASE_MIN">"c3257"</definedName>
    <definedName name="IQ_PENSION_PBO_RATE_COMP_INCREASE_MIN_DOM">"c3255"</definedName>
    <definedName name="IQ_PENSION_PBO_RATE_COMP_INCREASE_MIN_FOREIGN">"c3256"</definedName>
    <definedName name="IQ_PENSION_PREPAID_COST">"c3131"</definedName>
    <definedName name="IQ_PENSION_PREPAID_COST_DOM">"c3129"</definedName>
    <definedName name="IQ_PENSION_PREPAID_COST_FOREIGN">"c3130"</definedName>
    <definedName name="IQ_PENSION_PRIOR_SERVICE_NEXT">"c5741"</definedName>
    <definedName name="IQ_PENSION_PRIOR_SERVICE_NEXT_DOM">"c5739"</definedName>
    <definedName name="IQ_PENSION_PRIOR_SERVICE_NEXT_FOREIGN">"c5740"</definedName>
    <definedName name="IQ_PENSION_PROJECTED_OBLIGATION">"c3566"</definedName>
    <definedName name="IQ_PENSION_PROJECTED_OBLIGATION_DOMESTIC">"c3564"</definedName>
    <definedName name="IQ_PENSION_PROJECTED_OBLIGATION_FOREIGN">"c3565"</definedName>
    <definedName name="IQ_PENSION_QUART_ADDL_CONTRIBUTIONS_EXP">"c3224"</definedName>
    <definedName name="IQ_PENSION_QUART_ADDL_CONTRIBUTIONS_EXP_DOM">"c3222"</definedName>
    <definedName name="IQ_PENSION_QUART_ADDL_CONTRIBUTIONS_EXP_FOREIGN">"c3223"</definedName>
    <definedName name="IQ_PENSION_QUART_EMPLOYER_CONTRIBUTIONS">"c3221"</definedName>
    <definedName name="IQ_PENSION_QUART_EMPLOYER_CONTRIBUTIONS_DOM">"c3219"</definedName>
    <definedName name="IQ_PENSION_QUART_EMPLOYER_CONTRIBUTIONS_FOREIGN">"c3220"</definedName>
    <definedName name="IQ_PENSION_RATE_COMP_GROWTH_DOMESTIC">"c3575"</definedName>
    <definedName name="IQ_PENSION_RATE_COMP_GROWTH_FOREIGN">"c3576"</definedName>
    <definedName name="IQ_PENSION_RATE_COMP_INCREASE_MAX">"c3242"</definedName>
    <definedName name="IQ_PENSION_RATE_COMP_INCREASE_MAX_DOM">"c3240"</definedName>
    <definedName name="IQ_PENSION_RATE_COMP_INCREASE_MAX_FOREIGN">"c3241"</definedName>
    <definedName name="IQ_PENSION_RATE_COMP_INCREASE_MIN">"c3239"</definedName>
    <definedName name="IQ_PENSION_RATE_COMP_INCREASE_MIN_DOM">"c3237"</definedName>
    <definedName name="IQ_PENSION_RATE_COMP_INCREASE_MIN_FOREIGN">"c3238"</definedName>
    <definedName name="IQ_PENSION_SERVICE_COST">"c3579"</definedName>
    <definedName name="IQ_PENSION_SERVICE_COST_DOM">"c3577"</definedName>
    <definedName name="IQ_PENSION_SERVICE_COST_FOREIGN">"c3578"</definedName>
    <definedName name="IQ_PENSION_TOTAL_ASSETS">"c3563"</definedName>
    <definedName name="IQ_PENSION_TOTAL_ASSETS_DOMESTIC">"c3561"</definedName>
    <definedName name="IQ_PENSION_TOTAL_ASSETS_FOREIGN">"c3562"</definedName>
    <definedName name="IQ_PENSION_TOTAL_EXP">"c3560"</definedName>
    <definedName name="IQ_PENSION_TRANSITION_NEXT">"c5744"</definedName>
    <definedName name="IQ_PENSION_TRANSITION_NEXT_DOM">"c5742"</definedName>
    <definedName name="IQ_PENSION_TRANSITION_NEXT_FOREIGN">"c5743"</definedName>
    <definedName name="IQ_PENSION_UNFUNDED_ADDL_MIN_LIAB">"c3227"</definedName>
    <definedName name="IQ_PENSION_UNFUNDED_ADDL_MIN_LIAB_DOM">"c3225"</definedName>
    <definedName name="IQ_PENSION_UNFUNDED_ADDL_MIN_LIAB_FOREIGN">"c3226"</definedName>
    <definedName name="IQ_PENSION_UNRECOG_PRIOR">"c3146"</definedName>
    <definedName name="IQ_PENSION_UNRECOG_PRIOR_DOM">"c3144"</definedName>
    <definedName name="IQ_PENSION_UNRECOG_PRIOR_FOREIGN">"c3145"</definedName>
    <definedName name="IQ_PENSION_UV_LIAB">"c3567"</definedName>
    <definedName name="IQ_PERCENT_CHANGE_EST_5YR_GROWTH_RATE_12MONTHS">"c1852"</definedName>
    <definedName name="IQ_PERCENT_CHANGE_EST_5YR_GROWTH_RATE_12MONTHS_REUT">"c3959"</definedName>
    <definedName name="IQ_PERCENT_CHANGE_EST_5YR_GROWTH_RATE_18MONTHS">"c1853"</definedName>
    <definedName name="IQ_PERCENT_CHANGE_EST_5YR_GROWTH_RATE_18MONTHS_REUT">"c3960"</definedName>
    <definedName name="IQ_PERCENT_CHANGE_EST_5YR_GROWTH_RATE_3MONTHS">"c1849"</definedName>
    <definedName name="IQ_PERCENT_CHANGE_EST_5YR_GROWTH_RATE_3MONTHS_REUT">"c3956"</definedName>
    <definedName name="IQ_PERCENT_CHANGE_EST_5YR_GROWTH_RATE_6MONTHS">"c1850"</definedName>
    <definedName name="IQ_PERCENT_CHANGE_EST_5YR_GROWTH_RATE_6MONTHS_REUT">"c3957"</definedName>
    <definedName name="IQ_PERCENT_CHANGE_EST_5YR_GROWTH_RATE_9MONTHS">"c1851"</definedName>
    <definedName name="IQ_PERCENT_CHANGE_EST_5YR_GROWTH_RATE_9MONTHS_REUT">"c3958"</definedName>
    <definedName name="IQ_PERCENT_CHANGE_EST_5YR_GROWTH_RATE_DAY">"c1846"</definedName>
    <definedName name="IQ_PERCENT_CHANGE_EST_5YR_GROWTH_RATE_DAY_REUT">"c3954"</definedName>
    <definedName name="IQ_PERCENT_CHANGE_EST_5YR_GROWTH_RATE_MONTH">"c1848"</definedName>
    <definedName name="IQ_PERCENT_CHANGE_EST_5YR_GROWTH_RATE_MONTH_REUT">"c3955"</definedName>
    <definedName name="IQ_PERCENT_CHANGE_EST_5YR_GROWTH_RATE_WEEK">"c1847"</definedName>
    <definedName name="IQ_PERCENT_CHANGE_EST_5YR_GROWTH_RATE_WEEK_REUT">"c5435"</definedName>
    <definedName name="IQ_PERCENT_CHANGE_EST_CFPS_12MONTHS">"c1812"</definedName>
    <definedName name="IQ_PERCENT_CHANGE_EST_CFPS_12MONTHS_REUT">"c3924"</definedName>
    <definedName name="IQ_PERCENT_CHANGE_EST_CFPS_18MONTHS">"c1813"</definedName>
    <definedName name="IQ_PERCENT_CHANGE_EST_CFPS_18MONTHS_REUT">"c3925"</definedName>
    <definedName name="IQ_PERCENT_CHANGE_EST_CFPS_3MONTHS">"c1809"</definedName>
    <definedName name="IQ_PERCENT_CHANGE_EST_CFPS_3MONTHS_REUT">"c3921"</definedName>
    <definedName name="IQ_PERCENT_CHANGE_EST_CFPS_6MONTHS">"c1810"</definedName>
    <definedName name="IQ_PERCENT_CHANGE_EST_CFPS_6MONTHS_REUT">"c3922"</definedName>
    <definedName name="IQ_PERCENT_CHANGE_EST_CFPS_9MONTHS">"c1811"</definedName>
    <definedName name="IQ_PERCENT_CHANGE_EST_CFPS_9MONTHS_REUT">"c3923"</definedName>
    <definedName name="IQ_PERCENT_CHANGE_EST_CFPS_DAY">"c1806"</definedName>
    <definedName name="IQ_PERCENT_CHANGE_EST_CFPS_DAY_REUT">"c3919"</definedName>
    <definedName name="IQ_PERCENT_CHANGE_EST_CFPS_MONTH">"c1808"</definedName>
    <definedName name="IQ_PERCENT_CHANGE_EST_CFPS_MONTH_REUT">"c3920"</definedName>
    <definedName name="IQ_PERCENT_CHANGE_EST_CFPS_WEEK">"c1807"</definedName>
    <definedName name="IQ_PERCENT_CHANGE_EST_CFPS_WEEK_REUT">"c3962"</definedName>
    <definedName name="IQ_PERCENT_CHANGE_EST_DPS_12MONTHS">"c1820"</definedName>
    <definedName name="IQ_PERCENT_CHANGE_EST_DPS_12MONTHS_REUT">"c3931"</definedName>
    <definedName name="IQ_PERCENT_CHANGE_EST_DPS_18MONTHS">"c1821"</definedName>
    <definedName name="IQ_PERCENT_CHANGE_EST_DPS_18MONTHS_REUT">"c3932"</definedName>
    <definedName name="IQ_PERCENT_CHANGE_EST_DPS_3MONTHS">"c1817"</definedName>
    <definedName name="IQ_PERCENT_CHANGE_EST_DPS_3MONTHS_REUT">"c3928"</definedName>
    <definedName name="IQ_PERCENT_CHANGE_EST_DPS_6MONTHS">"c1818"</definedName>
    <definedName name="IQ_PERCENT_CHANGE_EST_DPS_6MONTHS_REUT">"c3929"</definedName>
    <definedName name="IQ_PERCENT_CHANGE_EST_DPS_9MONTHS">"c1819"</definedName>
    <definedName name="IQ_PERCENT_CHANGE_EST_DPS_9MONTHS_REUT">"c3930"</definedName>
    <definedName name="IQ_PERCENT_CHANGE_EST_DPS_DAY">"c1814"</definedName>
    <definedName name="IQ_PERCENT_CHANGE_EST_DPS_DAY_REUT">"c3926"</definedName>
    <definedName name="IQ_PERCENT_CHANGE_EST_DPS_MONTH">"c1816"</definedName>
    <definedName name="IQ_PERCENT_CHANGE_EST_DPS_MONTH_REUT">"c3927"</definedName>
    <definedName name="IQ_PERCENT_CHANGE_EST_DPS_WEEK">"c1815"</definedName>
    <definedName name="IQ_PERCENT_CHANGE_EST_DPS_WEEK_REUT">"c3963"</definedName>
    <definedName name="IQ_PERCENT_CHANGE_EST_EBITDA_12MONTHS">"c1804"</definedName>
    <definedName name="IQ_PERCENT_CHANGE_EST_EBITDA_12MONTHS_REUT">"c3917"</definedName>
    <definedName name="IQ_PERCENT_CHANGE_EST_EBITDA_18MONTHS">"c1805"</definedName>
    <definedName name="IQ_PERCENT_CHANGE_EST_EBITDA_18MONTHS_REUT">"c3918"</definedName>
    <definedName name="IQ_PERCENT_CHANGE_EST_EBITDA_3MONTHS">"c1801"</definedName>
    <definedName name="IQ_PERCENT_CHANGE_EST_EBITDA_3MONTHS_REUT">"c3914"</definedName>
    <definedName name="IQ_PERCENT_CHANGE_EST_EBITDA_6MONTHS">"c1802"</definedName>
    <definedName name="IQ_PERCENT_CHANGE_EST_EBITDA_6MONTHS_REUT">"c3915"</definedName>
    <definedName name="IQ_PERCENT_CHANGE_EST_EBITDA_9MONTHS">"c1803"</definedName>
    <definedName name="IQ_PERCENT_CHANGE_EST_EBITDA_9MONTHS_REUT">"c3916"</definedName>
    <definedName name="IQ_PERCENT_CHANGE_EST_EBITDA_DAY">"c1798"</definedName>
    <definedName name="IQ_PERCENT_CHANGE_EST_EBITDA_DAY_REUT">"c3912"</definedName>
    <definedName name="IQ_PERCENT_CHANGE_EST_EBITDA_MONTH">"c1800"</definedName>
    <definedName name="IQ_PERCENT_CHANGE_EST_EBITDA_MONTH_REUT">"c3913"</definedName>
    <definedName name="IQ_PERCENT_CHANGE_EST_EBITDA_WEEK">"c1799"</definedName>
    <definedName name="IQ_PERCENT_CHANGE_EST_EBITDA_WEEK_REUT">"c3961"</definedName>
    <definedName name="IQ_PERCENT_CHANGE_EST_EPS_12MONTHS">"c1788"</definedName>
    <definedName name="IQ_PERCENT_CHANGE_EST_EPS_12MONTHS_REUT">"c3902"</definedName>
    <definedName name="IQ_PERCENT_CHANGE_EST_EPS_18MONTHS">"c1789"</definedName>
    <definedName name="IQ_PERCENT_CHANGE_EST_EPS_18MONTHS_REUT">"c3903"</definedName>
    <definedName name="IQ_PERCENT_CHANGE_EST_EPS_3MONTHS">"c1785"</definedName>
    <definedName name="IQ_PERCENT_CHANGE_EST_EPS_3MONTHS_REUT">"c3899"</definedName>
    <definedName name="IQ_PERCENT_CHANGE_EST_EPS_6MONTHS">"c1786"</definedName>
    <definedName name="IQ_PERCENT_CHANGE_EST_EPS_6MONTHS_REUT">"c3900"</definedName>
    <definedName name="IQ_PERCENT_CHANGE_EST_EPS_9MONTHS">"c1787"</definedName>
    <definedName name="IQ_PERCENT_CHANGE_EST_EPS_9MONTHS_REUT">"c3901"</definedName>
    <definedName name="IQ_PERCENT_CHANGE_EST_EPS_DAY">"c1782"</definedName>
    <definedName name="IQ_PERCENT_CHANGE_EST_EPS_DAY_REUT">"c3896"</definedName>
    <definedName name="IQ_PERCENT_CHANGE_EST_EPS_MONTH">"c1784"</definedName>
    <definedName name="IQ_PERCENT_CHANGE_EST_EPS_MONTH_REUT">"c3898"</definedName>
    <definedName name="IQ_PERCENT_CHANGE_EST_EPS_WEEK">"c1783"</definedName>
    <definedName name="IQ_PERCENT_CHANGE_EST_EPS_WEEK_REUT">"c3897"</definedName>
    <definedName name="IQ_PERCENT_CHANGE_EST_FFO_12MONTHS">"c1828"</definedName>
    <definedName name="IQ_PERCENT_CHANGE_EST_FFO_12MONTHS_REUT">"c3938"</definedName>
    <definedName name="IQ_PERCENT_CHANGE_EST_FFO_18MONTHS">"c1829"</definedName>
    <definedName name="IQ_PERCENT_CHANGE_EST_FFO_18MONTHS_REUT">"c3939"</definedName>
    <definedName name="IQ_PERCENT_CHANGE_EST_FFO_3MONTHS">"c1825"</definedName>
    <definedName name="IQ_PERCENT_CHANGE_EST_FFO_3MONTHS_REUT">"c3935"</definedName>
    <definedName name="IQ_PERCENT_CHANGE_EST_FFO_6MONTHS">"c1826"</definedName>
    <definedName name="IQ_PERCENT_CHANGE_EST_FFO_6MONTHS_REUT">"c3936"</definedName>
    <definedName name="IQ_PERCENT_CHANGE_EST_FFO_9MONTHS">"c1827"</definedName>
    <definedName name="IQ_PERCENT_CHANGE_EST_FFO_9MONTHS_REUT">"c3937"</definedName>
    <definedName name="IQ_PERCENT_CHANGE_EST_FFO_DAY">"c1822"</definedName>
    <definedName name="IQ_PERCENT_CHANGE_EST_FFO_DAY_REUT">"c3933"</definedName>
    <definedName name="IQ_PERCENT_CHANGE_EST_FFO_MONTH">"c1824"</definedName>
    <definedName name="IQ_PERCENT_CHANGE_EST_FFO_MONTH_REUT">"c3934"</definedName>
    <definedName name="IQ_PERCENT_CHANGE_EST_FFO_WEEK">"c1823"</definedName>
    <definedName name="IQ_PERCENT_CHANGE_EST_FFO_WEEK_REUT">"c3964"</definedName>
    <definedName name="IQ_PERCENT_CHANGE_EST_PRICE_TARGET_12MONTHS">"c1844"</definedName>
    <definedName name="IQ_PERCENT_CHANGE_EST_PRICE_TARGET_12MONTHS_REUT">"c3952"</definedName>
    <definedName name="IQ_PERCENT_CHANGE_EST_PRICE_TARGET_18MONTHS">"c1845"</definedName>
    <definedName name="IQ_PERCENT_CHANGE_EST_PRICE_TARGET_18MONTHS_REUT">"c3953"</definedName>
    <definedName name="IQ_PERCENT_CHANGE_EST_PRICE_TARGET_3MONTHS">"c1841"</definedName>
    <definedName name="IQ_PERCENT_CHANGE_EST_PRICE_TARGET_3MONTHS_REUT">"c3949"</definedName>
    <definedName name="IQ_PERCENT_CHANGE_EST_PRICE_TARGET_6MONTHS">"c1842"</definedName>
    <definedName name="IQ_PERCENT_CHANGE_EST_PRICE_TARGET_6MONTHS_REUT">"c3950"</definedName>
    <definedName name="IQ_PERCENT_CHANGE_EST_PRICE_TARGET_9MONTHS">"c1843"</definedName>
    <definedName name="IQ_PERCENT_CHANGE_EST_PRICE_TARGET_9MONTHS_REUT">"c3951"</definedName>
    <definedName name="IQ_PERCENT_CHANGE_EST_PRICE_TARGET_DAY">"c1838"</definedName>
    <definedName name="IQ_PERCENT_CHANGE_EST_PRICE_TARGET_DAY_REUT">"c3947"</definedName>
    <definedName name="IQ_PERCENT_CHANGE_EST_PRICE_TARGET_MONTH">"c1840"</definedName>
    <definedName name="IQ_PERCENT_CHANGE_EST_PRICE_TARGET_MONTH_REUT">"c3948"</definedName>
    <definedName name="IQ_PERCENT_CHANGE_EST_PRICE_TARGET_WEEK">"c1839"</definedName>
    <definedName name="IQ_PERCENT_CHANGE_EST_PRICE_TARGET_WEEK_REUT">"c3967"</definedName>
    <definedName name="IQ_PERCENT_CHANGE_EST_RECO_12MONTHS">"c1836"</definedName>
    <definedName name="IQ_PERCENT_CHANGE_EST_RECO_12MONTHS_REUT">"c3945"</definedName>
    <definedName name="IQ_PERCENT_CHANGE_EST_RECO_18MONTHS">"c1837"</definedName>
    <definedName name="IQ_PERCENT_CHANGE_EST_RECO_18MONTHS_REUT">"c3946"</definedName>
    <definedName name="IQ_PERCENT_CHANGE_EST_RECO_3MONTHS">"c1833"</definedName>
    <definedName name="IQ_PERCENT_CHANGE_EST_RECO_3MONTHS_REUT">"c3942"</definedName>
    <definedName name="IQ_PERCENT_CHANGE_EST_RECO_6MONTHS">"c1834"</definedName>
    <definedName name="IQ_PERCENT_CHANGE_EST_RECO_6MONTHS_REUT">"c3943"</definedName>
    <definedName name="IQ_PERCENT_CHANGE_EST_RECO_9MONTHS">"c1835"</definedName>
    <definedName name="IQ_PERCENT_CHANGE_EST_RECO_9MONTHS_REUT">"c3944"</definedName>
    <definedName name="IQ_PERCENT_CHANGE_EST_RECO_DAY">"c1830"</definedName>
    <definedName name="IQ_PERCENT_CHANGE_EST_RECO_DAY_REUT">"c3940"</definedName>
    <definedName name="IQ_PERCENT_CHANGE_EST_RECO_MONTH">"c1832"</definedName>
    <definedName name="IQ_PERCENT_CHANGE_EST_RECO_MONTH_REUT">"c3941"</definedName>
    <definedName name="IQ_PERCENT_CHANGE_EST_RECO_WEEK">"c1831"</definedName>
    <definedName name="IQ_PERCENT_CHANGE_EST_RECO_WEEK_REUT">"c3966"</definedName>
    <definedName name="IQ_PERCENT_CHANGE_EST_REV_12MONTHS">"c1796"</definedName>
    <definedName name="IQ_PERCENT_CHANGE_EST_REV_12MONTHS_REUT">"c3910"</definedName>
    <definedName name="IQ_PERCENT_CHANGE_EST_REV_18MONTHS">"c1797"</definedName>
    <definedName name="IQ_PERCENT_CHANGE_EST_REV_18MONTHS_REUT">"c3911"</definedName>
    <definedName name="IQ_PERCENT_CHANGE_EST_REV_3MONTHS">"c1793"</definedName>
    <definedName name="IQ_PERCENT_CHANGE_EST_REV_3MONTHS_REUT">"c3907"</definedName>
    <definedName name="IQ_PERCENT_CHANGE_EST_REV_6MONTHS">"c1794"</definedName>
    <definedName name="IQ_PERCENT_CHANGE_EST_REV_6MONTHS_REUT">"c3908"</definedName>
    <definedName name="IQ_PERCENT_CHANGE_EST_REV_9MONTHS">"c1795"</definedName>
    <definedName name="IQ_PERCENT_CHANGE_EST_REV_9MONTHS_REUT">"c3909"</definedName>
    <definedName name="IQ_PERCENT_CHANGE_EST_REV_DAY">"c1790"</definedName>
    <definedName name="IQ_PERCENT_CHANGE_EST_REV_DAY_REUT">"c3904"</definedName>
    <definedName name="IQ_PERCENT_CHANGE_EST_REV_MONTH">"c1792"</definedName>
    <definedName name="IQ_PERCENT_CHANGE_EST_REV_MONTH_REUT">"c3906"</definedName>
    <definedName name="IQ_PERCENT_CHANGE_EST_REV_WEEK">"c1791"</definedName>
    <definedName name="IQ_PERCENT_CHANGE_EST_REV_WEEK_REUT">"c3905"</definedName>
    <definedName name="IQ_PERCENT_INSURED_FDIC">"c6374"</definedName>
    <definedName name="IQ_PERIODDATE">"c1414"</definedName>
    <definedName name="IQ_PERIODDATE_BS">"c1032"</definedName>
    <definedName name="IQ_PERIODDATE_CF">"c1033"</definedName>
    <definedName name="IQ_PERIODDATE_IS">"c1034"</definedName>
    <definedName name="IQ_PERIODLENGTH_CF">"c1502"</definedName>
    <definedName name="IQ_PERIODLENGTH_IS">"c1503"</definedName>
    <definedName name="IQ_PERTYPE">"c1611"</definedName>
    <definedName name="IQ_PLEDGED_SECURITIES_FDIC">"c6401"</definedName>
    <definedName name="IQ_PLL">"c2114"</definedName>
    <definedName name="IQ_PMT_FREQ">"c2236"</definedName>
    <definedName name="IQ_POISON_PUT_EFFECT_DATE">"c2486"</definedName>
    <definedName name="IQ_POISON_PUT_EXPIRATION_DATE">"c2487"</definedName>
    <definedName name="IQ_POISON_PUT_PRICE">"c2488"</definedName>
    <definedName name="IQ_POLICY_BENEFITS">"c1036"</definedName>
    <definedName name="IQ_POLICY_COST">"c1037"</definedName>
    <definedName name="IQ_POLICY_LIAB">"c1612"</definedName>
    <definedName name="IQ_POLICY_LOANS">"c1038"</definedName>
    <definedName name="IQ_POST_RETIRE_EXP">"c1039"</definedName>
    <definedName name="IQ_POSTPAID_CHURN">"c2121"</definedName>
    <definedName name="IQ_POSTPAID_SUBS">"c2118"</definedName>
    <definedName name="IQ_POTENTIAL_UPSIDE">"c1855"</definedName>
    <definedName name="IQ_POTENTIAL_UPSIDE_REUT">"c3968"</definedName>
    <definedName name="IQ_PRE_OPEN_COST">"c1040"</definedName>
    <definedName name="IQ_PRE_TAX_ACT_OR_EST">"c2221"</definedName>
    <definedName name="IQ_PRE_TAX_ACT_OR_EST_REUT">"c5467"</definedName>
    <definedName name="IQ_PRE_TAX_INCOME_FDIC">"c6581"</definedName>
    <definedName name="IQ_PREF_CONVERT">"c1041"</definedName>
    <definedName name="IQ_PREF_DIV_CF">"c1042"</definedName>
    <definedName name="IQ_PREF_DIV_OTHER">"c1043"</definedName>
    <definedName name="IQ_PREF_DIVID">"c1461"</definedName>
    <definedName name="IQ_PREF_EQUITY">"c1044"</definedName>
    <definedName name="IQ_PREF_ISSUED">"c1045"</definedName>
    <definedName name="IQ_PREF_ISSUED_BNK">"c1046"</definedName>
    <definedName name="IQ_PREF_ISSUED_BR">"c1047"</definedName>
    <definedName name="IQ_PREF_ISSUED_FIN">"c1048"</definedName>
    <definedName name="IQ_PREF_ISSUED_INS">"c1049"</definedName>
    <definedName name="IQ_PREF_ISSUED_RE">"c6261"</definedName>
    <definedName name="IQ_PREF_ISSUED_REIT">"c1050"</definedName>
    <definedName name="IQ_PREF_ISSUED_UTI">"c1051"</definedName>
    <definedName name="IQ_PREF_NON_REDEEM">"c1052"</definedName>
    <definedName name="IQ_PREF_OTHER">"c1053"</definedName>
    <definedName name="IQ_PREF_OTHER_BNK">"c1054"</definedName>
    <definedName name="IQ_PREF_OTHER_BR">"c1055"</definedName>
    <definedName name="IQ_PREF_OTHER_FIN">"c1056"</definedName>
    <definedName name="IQ_PREF_OTHER_INS">"c1057"</definedName>
    <definedName name="IQ_PREF_OTHER_RE">"c6262"</definedName>
    <definedName name="IQ_PREF_OTHER_REIT">"c1058"</definedName>
    <definedName name="IQ_PREF_OTHER_UTI">"C6022"</definedName>
    <definedName name="IQ_PREF_REDEEM">"c1059"</definedName>
    <definedName name="IQ_PREF_REP">"c1060"</definedName>
    <definedName name="IQ_PREF_REP_BNK">"c1061"</definedName>
    <definedName name="IQ_PREF_REP_BR">"c1062"</definedName>
    <definedName name="IQ_PREF_REP_FIN">"c1063"</definedName>
    <definedName name="IQ_PREF_REP_INS">"c1064"</definedName>
    <definedName name="IQ_PREF_REP_RE">"c6263"</definedName>
    <definedName name="IQ_PREF_REP_REIT">"c1065"</definedName>
    <definedName name="IQ_PREF_REP_UTI">"c1066"</definedName>
    <definedName name="IQ_PREF_STOCK">"c1416"</definedName>
    <definedName name="IQ_PREF_TOT">"c1415"</definedName>
    <definedName name="IQ_PREFERRED_FDIC">"c6349"</definedName>
    <definedName name="IQ_PREMISES_EQUIPMENT_FDIC">"c6577"</definedName>
    <definedName name="IQ_PREMIUMS_ANNUITY_REV">"c1067"</definedName>
    <definedName name="IQ_PREPAID_CHURN">"c2120"</definedName>
    <definedName name="IQ_PREPAID_EXP">"c1068"</definedName>
    <definedName name="IQ_PREPAID_EXPEN">"c1418"</definedName>
    <definedName name="IQ_PREPAID_SUBS">"c2117"</definedName>
    <definedName name="IQ_PRETAX_GW_INC_EST">"c1702"</definedName>
    <definedName name="IQ_PRETAX_GW_INC_EST_REUT">"c5354"</definedName>
    <definedName name="IQ_PRETAX_GW_INC_HIGH_EST">"c1704"</definedName>
    <definedName name="IQ_PRETAX_GW_INC_HIGH_EST_REUT">"c5356"</definedName>
    <definedName name="IQ_PRETAX_GW_INC_LOW_EST">"c1705"</definedName>
    <definedName name="IQ_PRETAX_GW_INC_LOW_EST_REUT">"c5357"</definedName>
    <definedName name="IQ_PRETAX_GW_INC_MEDIAN_EST">"c1703"</definedName>
    <definedName name="IQ_PRETAX_GW_INC_MEDIAN_EST_REUT">"c5355"</definedName>
    <definedName name="IQ_PRETAX_GW_INC_NUM_EST">"c1706"</definedName>
    <definedName name="IQ_PRETAX_GW_INC_NUM_EST_REUT">"c5358"</definedName>
    <definedName name="IQ_PRETAX_GW_INC_STDDEV_EST">"c1707"</definedName>
    <definedName name="IQ_PRETAX_GW_INC_STDDEV_EST_REUT">"c5359"</definedName>
    <definedName name="IQ_PRETAX_INC_EST">"c1695"</definedName>
    <definedName name="IQ_PRETAX_INC_EST_REUT">"c5347"</definedName>
    <definedName name="IQ_PRETAX_INC_HIGH_EST">"c1697"</definedName>
    <definedName name="IQ_PRETAX_INC_HIGH_EST_REUT">"c5349"</definedName>
    <definedName name="IQ_PRETAX_INC_LOW_EST">"c1698"</definedName>
    <definedName name="IQ_PRETAX_INC_LOW_EST_REUT">"c5350"</definedName>
    <definedName name="IQ_PRETAX_INC_MEDIAN_EST">"c1696"</definedName>
    <definedName name="IQ_PRETAX_INC_MEDIAN_EST_REUT">"c5348"</definedName>
    <definedName name="IQ_PRETAX_INC_NUM_EST">"c1699"</definedName>
    <definedName name="IQ_PRETAX_INC_NUM_EST_REUT">"c5351"</definedName>
    <definedName name="IQ_PRETAX_INC_STDDEV_EST">"c1700"</definedName>
    <definedName name="IQ_PRETAX_INC_STDDEV_EST_REUT">"c5352"</definedName>
    <definedName name="IQ_PRETAX_REPORT_INC_EST">"c1709"</definedName>
    <definedName name="IQ_PRETAX_REPORT_INC_EST_REUT">"c5361"</definedName>
    <definedName name="IQ_PRETAX_REPORT_INC_HIGH_EST">"c1711"</definedName>
    <definedName name="IQ_PRETAX_REPORT_INC_HIGH_EST_REUT">"c5363"</definedName>
    <definedName name="IQ_PRETAX_REPORT_INC_LOW_EST">"c1712"</definedName>
    <definedName name="IQ_PRETAX_REPORT_INC_LOW_EST_REUT">"c5364"</definedName>
    <definedName name="IQ_PRETAX_REPORT_INC_MEDIAN_EST">"c1710"</definedName>
    <definedName name="IQ_PRETAX_REPORT_INC_MEDIAN_EST_REUT">"c5362"</definedName>
    <definedName name="IQ_PRETAX_REPORT_INC_NUM_EST">"c1713"</definedName>
    <definedName name="IQ_PRETAX_REPORT_INC_NUM_EST_REUT">"c5365"</definedName>
    <definedName name="IQ_PRETAX_REPORT_INC_STDDEV_EST">"c1714"</definedName>
    <definedName name="IQ_PRETAX_REPORT_INC_STDDEV_EST_REUT">"c5366"</definedName>
    <definedName name="IQ_PRETAX_RETURN_ASSETS_FDIC">"c6731"</definedName>
    <definedName name="IQ_PRICE_CFPS_FWD">"c2237"</definedName>
    <definedName name="IQ_PRICE_CFPS_FWD_REUT">"c4053"</definedName>
    <definedName name="IQ_PRICE_OVER_BVPS">"c1412"</definedName>
    <definedName name="IQ_PRICE_OVER_LTM_EPS">"c1413"</definedName>
    <definedName name="IQ_PRICE_TARGET">"c82"</definedName>
    <definedName name="IQ_PRICE_TARGET_BOTTOM_UP">"c5486"</definedName>
    <definedName name="IQ_PRICE_TARGET_BOTTOM_UP_REUT">"c5494"</definedName>
    <definedName name="IQ_PRICE_TARGET_REUT">"c3631"</definedName>
    <definedName name="IQ_PRICE_VOLATILITY_EST">"c4492"</definedName>
    <definedName name="IQ_PRICE_VOLATILITY_HIGH">"c4493"</definedName>
    <definedName name="IQ_PRICE_VOLATILITY_LOW">"c4494"</definedName>
    <definedName name="IQ_PRICE_VOLATILITY_MEDIAN">"c4495"</definedName>
    <definedName name="IQ_PRICE_VOLATILITY_NUM">"c4496"</definedName>
    <definedName name="IQ_PRICE_VOLATILITY_STDDEV">"c4497"</definedName>
    <definedName name="IQ_PRICEDATE">"c1069"</definedName>
    <definedName name="IQ_PRICEDATETIME">"IQ_PRICEDATETIME"</definedName>
    <definedName name="IQ_PRICING_DATE">"c1613"</definedName>
    <definedName name="IQ_PRIMARY_EPS_TYPE">"c4498"</definedName>
    <definedName name="IQ_PRIMARY_EPS_TYPE_REUT">"c5481"</definedName>
    <definedName name="IQ_PRIMARY_INDUSTRY">"c1070"</definedName>
    <definedName name="IQ_PRINCIPAL_AMT">"c2157"</definedName>
    <definedName name="IQ_PRIVATE_CONST_TOTAL_APR_FC_UNUSED_UNUSED_UNUSED">"c8559"</definedName>
    <definedName name="IQ_PRIVATE_CONST_TOTAL_APR_UNUSED_UNUSED_UNUSED">"c7679"</definedName>
    <definedName name="IQ_PRIVATE_CONST_TOTAL_FC_UNUSED_UNUSED_UNUSED">"c7899"</definedName>
    <definedName name="IQ_PRIVATE_CONST_TOTAL_POP_FC_UNUSED_UNUSED_UNUSED">"c8119"</definedName>
    <definedName name="IQ_PRIVATE_CONST_TOTAL_POP_UNUSED_UNUSED_UNUSED">"c7239"</definedName>
    <definedName name="IQ_PRIVATE_CONST_TOTAL_UNUSED_UNUSED_UNUSED">"c7019"</definedName>
    <definedName name="IQ_PRIVATE_CONST_TOTAL_YOY_FC_UNUSED_UNUSED_UNUSED">"c8339"</definedName>
    <definedName name="IQ_PRIVATE_CONST_TOTAL_YOY_UNUSED_UNUSED_UNUSED">"c7459"</definedName>
    <definedName name="IQ_PRIVATE_RES_CONST_REAL_APR_FC_UNUSED_UNUSED_UNUSED">"c8535"</definedName>
    <definedName name="IQ_PRIVATE_RES_CONST_REAL_APR_UNUSED_UNUSED_UNUSED">"c7655"</definedName>
    <definedName name="IQ_PRIVATE_RES_CONST_REAL_FC_UNUSED_UNUSED_UNUSED">"c7875"</definedName>
    <definedName name="IQ_PRIVATE_RES_CONST_REAL_POP_FC_UNUSED_UNUSED_UNUSED">"c8095"</definedName>
    <definedName name="IQ_PRIVATE_RES_CONST_REAL_POP_UNUSED_UNUSED_UNUSED">"c7215"</definedName>
    <definedName name="IQ_PRIVATE_RES_CONST_REAL_UNUSED_UNUSED_UNUSED">"c6995"</definedName>
    <definedName name="IQ_PRIVATE_RES_CONST_REAL_YOY_FC_UNUSED_UNUSED_UNUSED">"c8315"</definedName>
    <definedName name="IQ_PRIVATE_RES_CONST_REAL_YOY_UNUSED_UNUSED_UNUSED">"c7435"</definedName>
    <definedName name="IQ_PRIVATELY_ISSUED_MORTGAGE_BACKED_SECURITIES_FDIC">"c6407"</definedName>
    <definedName name="IQ_PRIVATELY_ISSUED_MORTGAGE_PASS_THROUGHS_FDIC">"c6405"</definedName>
    <definedName name="IQ_PRO_FORMA_BASIC_EPS">"c1614"</definedName>
    <definedName name="IQ_PRO_FORMA_DILUT_EPS">"c1615"</definedName>
    <definedName name="IQ_PRO_FORMA_NET_INC">"c1452"</definedName>
    <definedName name="IQ_PROFESSIONAL">"c1071"</definedName>
    <definedName name="IQ_PROFESSIONAL_TITLE">"c1072"</definedName>
    <definedName name="IQ_PROJECTED_PENSION_OBLIGATION">"c1292"</definedName>
    <definedName name="IQ_PROJECTED_PENSION_OBLIGATION_DOMESTIC">"c2656"</definedName>
    <definedName name="IQ_PROJECTED_PENSION_OBLIGATION_FOREIGN">"c2664"</definedName>
    <definedName name="IQ_PROPERTY_EXP">"c1073"</definedName>
    <definedName name="IQ_PROPERTY_GROSS">"c1379"</definedName>
    <definedName name="IQ_PROPERTY_MGMT_FEE">"c1074"</definedName>
    <definedName name="IQ_PROPERTY_NET">"c1402"</definedName>
    <definedName name="IQ_PROV_BAD_DEBTS">"c1075"</definedName>
    <definedName name="IQ_PROV_BAD_DEBTS_CF">"c1076"</definedName>
    <definedName name="IQ_PROVISION_10YR_ANN_CAGR">"c6135"</definedName>
    <definedName name="IQ_PROVISION_10YR_ANN_GROWTH">"c1077"</definedName>
    <definedName name="IQ_PROVISION_1YR_ANN_GROWTH">"c1078"</definedName>
    <definedName name="IQ_PROVISION_2YR_ANN_CAGR">"c6136"</definedName>
    <definedName name="IQ_PROVISION_2YR_ANN_GROWTH">"c1079"</definedName>
    <definedName name="IQ_PROVISION_3YR_ANN_CAGR">"c6137"</definedName>
    <definedName name="IQ_PROVISION_3YR_ANN_GROWTH">"c1080"</definedName>
    <definedName name="IQ_PROVISION_5YR_ANN_CAGR">"c6138"</definedName>
    <definedName name="IQ_PROVISION_5YR_ANN_GROWTH">"c1081"</definedName>
    <definedName name="IQ_PROVISION_7YR_ANN_CAGR">"c6139"</definedName>
    <definedName name="IQ_PROVISION_7YR_ANN_GROWTH">"c1082"</definedName>
    <definedName name="IQ_PROVISION_CHARGE_OFFS">"c1083"</definedName>
    <definedName name="IQ_PTBV">"c1084"</definedName>
    <definedName name="IQ_PTBV_AVG">"c1085"</definedName>
    <definedName name="IQ_PURCHASE_FOREIGN_CURRENCIES_FDIC">"c6513"</definedName>
    <definedName name="IQ_PURCHASED_OPTION_CONTRACTS_FDIC">"c6510"</definedName>
    <definedName name="IQ_PURCHASED_OPTION_CONTRACTS_FX_RISK_FDIC">"c6515"</definedName>
    <definedName name="IQ_PURCHASED_OPTION_CONTRACTS_NON_FX_IR_FDIC">"c6520"</definedName>
    <definedName name="IQ_PURCHASES_EQUIP_NONRES_SAAR_APR_FC_UNUSED_UNUSED_UNUSED">"c8491"</definedName>
    <definedName name="IQ_PURCHASES_EQUIP_NONRES_SAAR_APR_UNUSED_UNUSED_UNUSED">"c7611"</definedName>
    <definedName name="IQ_PURCHASES_EQUIP_NONRES_SAAR_FC_UNUSED_UNUSED_UNUSED">"c7831"</definedName>
    <definedName name="IQ_PURCHASES_EQUIP_NONRES_SAAR_POP_FC_UNUSED_UNUSED_UNUSED">"c8051"</definedName>
    <definedName name="IQ_PURCHASES_EQUIP_NONRES_SAAR_POP_UNUSED_UNUSED_UNUSED">"c7171"</definedName>
    <definedName name="IQ_PURCHASES_EQUIP_NONRES_SAAR_UNUSED_UNUSED_UNUSED">"c6951"</definedName>
    <definedName name="IQ_PURCHASES_EQUIP_NONRES_SAAR_YOY_FC_UNUSED_UNUSED_UNUSED">"c8271"</definedName>
    <definedName name="IQ_PURCHASES_EQUIP_NONRES_SAAR_YOY_UNUSED_UNUSED_UNUSED">"c7391"</definedName>
    <definedName name="IQ_PUT_DATE_SCHEDULE">"c2483"</definedName>
    <definedName name="IQ_PUT_NOTIFICATION">"c2485"</definedName>
    <definedName name="IQ_PUT_PRICE_SCHEDULE">"c2484"</definedName>
    <definedName name="IQ_QTD">750000</definedName>
    <definedName name="IQ_QUICK_RATIO">"c1086"</definedName>
    <definedName name="IQ_RATE_COMP_GROWTH_DOMESTIC">"c1087"</definedName>
    <definedName name="IQ_RATE_COMP_GROWTH_FOREIGN">"c1088"</definedName>
    <definedName name="IQ_RAW_INV">"c1089"</definedName>
    <definedName name="IQ_RC">"c2497"</definedName>
    <definedName name="IQ_RC_PCT">"c2498"</definedName>
    <definedName name="IQ_RD_EXP">"c1090"</definedName>
    <definedName name="IQ_RD_EXP_FN">"c1091"</definedName>
    <definedName name="IQ_RE">"c1092"</definedName>
    <definedName name="IQ_RE_FORECLOSURE_FDIC">"c6332"</definedName>
    <definedName name="IQ_RE_INVEST_FDIC">"c6331"</definedName>
    <definedName name="IQ_RE_LOANS_DOMESTIC_CHARGE_OFFS_FDIC">"c6589"</definedName>
    <definedName name="IQ_RE_LOANS_DOMESTIC_FDIC">"c6309"</definedName>
    <definedName name="IQ_RE_LOANS_DOMESTIC_NET_CHARGE_OFFS_FDIC">"c6627"</definedName>
    <definedName name="IQ_RE_LOANS_DOMESTIC_RECOVERIES_FDIC">"c6608"</definedName>
    <definedName name="IQ_RE_LOANS_FDIC">"c6308"</definedName>
    <definedName name="IQ_RE_LOANS_FOREIGN_CHARGE_OFFS_FDIC">"c6595"</definedName>
    <definedName name="IQ_RE_LOANS_FOREIGN_NET_CHARGE_OFFS_FDIC">"c6633"</definedName>
    <definedName name="IQ_RE_LOANS_FOREIGN_RECOVERIES_FDIC">"c6614"</definedName>
    <definedName name="IQ_REAL_ESTATE">"c1093"</definedName>
    <definedName name="IQ_REAL_ESTATE_ASSETS">"c1094"</definedName>
    <definedName name="IQ_RECOVERIES_1_4_FAMILY_LOANS_FDIC">"c6707"</definedName>
    <definedName name="IQ_RECOVERIES_AUTO_LOANS_FDIC">"c6701"</definedName>
    <definedName name="IQ_RECOVERIES_CL_LOANS_FDIC">"c6702"</definedName>
    <definedName name="IQ_RECOVERIES_CREDIT_CARDS_RECEIVABLES_FDIC">"c6704"</definedName>
    <definedName name="IQ_RECOVERIES_HOME_EQUITY_LINES_FDIC">"c6705"</definedName>
    <definedName name="IQ_RECOVERIES_OTHER_CONSUMER_LOANS_FDIC">"c6703"</definedName>
    <definedName name="IQ_RECOVERIES_OTHER_LOANS_FDIC">"c6706"</definedName>
    <definedName name="IQ_RECURRING_PROFIT_ACT_OR_EST">"c4507"</definedName>
    <definedName name="IQ_RECURRING_PROFIT_EST">"c4499"</definedName>
    <definedName name="IQ_RECURRING_PROFIT_GUIDANCE">"c4500"</definedName>
    <definedName name="IQ_RECURRING_PROFIT_HIGH_EST">"c4501"</definedName>
    <definedName name="IQ_RECURRING_PROFIT_HIGH_GUIDANCE">"c4179"</definedName>
    <definedName name="IQ_RECURRING_PROFIT_LOW_EST">"c4502"</definedName>
    <definedName name="IQ_RECURRING_PROFIT_LOW_GUIDANCE">"c4219"</definedName>
    <definedName name="IQ_RECURRING_PROFIT_MEDIAN_EST">"c4503"</definedName>
    <definedName name="IQ_RECURRING_PROFIT_NUM_EST">"c4504"</definedName>
    <definedName name="IQ_RECURRING_PROFIT_SHARE_ACT_OR_EST">"c4508"</definedName>
    <definedName name="IQ_RECURRING_PROFIT_SHARE_EST">"c4506"</definedName>
    <definedName name="IQ_RECURRING_PROFIT_SHARE_GUIDANCE">"c4509"</definedName>
    <definedName name="IQ_RECURRING_PROFIT_SHARE_HIGH_EST">"c4510"</definedName>
    <definedName name="IQ_RECURRING_PROFIT_SHARE_HIGH_GUIDANCE">"c4200"</definedName>
    <definedName name="IQ_RECURRING_PROFIT_SHARE_LOW_EST">"c4511"</definedName>
    <definedName name="IQ_RECURRING_PROFIT_SHARE_LOW_GUIDANCE">"c4240"</definedName>
    <definedName name="IQ_RECURRING_PROFIT_SHARE_MEDIAN_EST">"c4512"</definedName>
    <definedName name="IQ_RECURRING_PROFIT_SHARE_NUM_EST">"c4513"</definedName>
    <definedName name="IQ_RECURRING_PROFIT_SHARE_STDDEV_EST">"c4514"</definedName>
    <definedName name="IQ_RECURRING_PROFIT_STDDEV_EST">"c4516"</definedName>
    <definedName name="IQ_REDEEM_PREF_STOCK">"c1417"</definedName>
    <definedName name="IQ_REG_ASSETS">"c1095"</definedName>
    <definedName name="IQ_REINSUR_PAY">"c1096"</definedName>
    <definedName name="IQ_REINSUR_PAY_CF">"c1097"</definedName>
    <definedName name="IQ_REINSUR_RECOVER">"c1098"</definedName>
    <definedName name="IQ_REINSUR_RECOVER_CF">"c1099"</definedName>
    <definedName name="IQ_REINSURANCE">"c1100"</definedName>
    <definedName name="IQ_RELATED_PLANS_FDIC">"c6320"</definedName>
    <definedName name="IQ_RENTAL_REV">"c1101"</definedName>
    <definedName name="IQ_RES_CONST_REAL_APR_FC_UNUSED_UNUSED_UNUSED">"c8536"</definedName>
    <definedName name="IQ_RES_CONST_REAL_APR_UNUSED_UNUSED_UNUSED">"c7656"</definedName>
    <definedName name="IQ_RES_CONST_REAL_FC_UNUSED_UNUSED_UNUSED">"c7876"</definedName>
    <definedName name="IQ_RES_CONST_REAL_POP_FC_UNUSED_UNUSED_UNUSED">"c8096"</definedName>
    <definedName name="IQ_RES_CONST_REAL_POP_UNUSED_UNUSED_UNUSED">"c7216"</definedName>
    <definedName name="IQ_RES_CONST_REAL_SAAR_APR_FC_UNUSED_UNUSED_UNUSED">"c8537"</definedName>
    <definedName name="IQ_RES_CONST_REAL_SAAR_APR_UNUSED_UNUSED_UNUSED">"c7657"</definedName>
    <definedName name="IQ_RES_CONST_REAL_SAAR_FC_UNUSED_UNUSED_UNUSED">"c7877"</definedName>
    <definedName name="IQ_RES_CONST_REAL_SAAR_POP_FC_UNUSED_UNUSED_UNUSED">"c8097"</definedName>
    <definedName name="IQ_RES_CONST_REAL_SAAR_POP_UNUSED_UNUSED_UNUSED">"c7217"</definedName>
    <definedName name="IQ_RES_CONST_REAL_SAAR_UNUSED_UNUSED_UNUSED">"c6997"</definedName>
    <definedName name="IQ_RES_CONST_REAL_SAAR_YOY_FC_UNUSED_UNUSED_UNUSED">"c8317"</definedName>
    <definedName name="IQ_RES_CONST_REAL_SAAR_YOY_UNUSED_UNUSED_UNUSED">"c7437"</definedName>
    <definedName name="IQ_RES_CONST_REAL_UNUSED_UNUSED_UNUSED">"c6996"</definedName>
    <definedName name="IQ_RES_CONST_REAL_YOY_FC_UNUSED_UNUSED_UNUSED">"c8316"</definedName>
    <definedName name="IQ_RES_CONST_REAL_YOY_UNUSED_UNUSED_UNUSED">"c7436"</definedName>
    <definedName name="IQ_RES_CONST_SAAR_APR_FC_UNUSED_UNUSED_UNUSED">"c8540"</definedName>
    <definedName name="IQ_RES_CONST_SAAR_APR_UNUSED_UNUSED_UNUSED">"c7660"</definedName>
    <definedName name="IQ_RES_CONST_SAAR_FC_UNUSED_UNUSED_UNUSED">"c7880"</definedName>
    <definedName name="IQ_RES_CONST_SAAR_POP_FC_UNUSED_UNUSED_UNUSED">"c8100"</definedName>
    <definedName name="IQ_RES_CONST_SAAR_POP_UNUSED_UNUSED_UNUSED">"c7220"</definedName>
    <definedName name="IQ_RES_CONST_SAAR_UNUSED_UNUSED_UNUSED">"c7000"</definedName>
    <definedName name="IQ_RES_CONST_SAAR_YOY_FC_UNUSED_UNUSED_UNUSED">"c8320"</definedName>
    <definedName name="IQ_RES_CONST_SAAR_YOY_UNUSED_UNUSED_UNUSED">"c7440"</definedName>
    <definedName name="IQ_RESEARCH_DEV">"c1419"</definedName>
    <definedName name="IQ_RESIDENTIAL_LOANS">"c1102"</definedName>
    <definedName name="IQ_RESTATEMENT_BS">"c1643"</definedName>
    <definedName name="IQ_RESTATEMENT_CF">"c1644"</definedName>
    <definedName name="IQ_RESTATEMENT_IS">"c1642"</definedName>
    <definedName name="IQ_RESTATEMENTS_NET_FDIC">"c6500"</definedName>
    <definedName name="IQ_RESTR_STOCK_COMP">"c3506"</definedName>
    <definedName name="IQ_RESTR_STOCK_COMP_PRETAX">"c3504"</definedName>
    <definedName name="IQ_RESTR_STOCK_COMP_TAX">"c3505"</definedName>
    <definedName name="IQ_RESTRICTED_CASH">"c1103"</definedName>
    <definedName name="IQ_RESTRICTED_CASH_NON_CURRENT">"c6192"</definedName>
    <definedName name="IQ_RESTRICTED_CASH_TOTAL">"c6193"</definedName>
    <definedName name="IQ_RESTRUCTURE">"c1104"</definedName>
    <definedName name="IQ_RESTRUCTURE_BNK">"c1105"</definedName>
    <definedName name="IQ_RESTRUCTURE_BR">"c1106"</definedName>
    <definedName name="IQ_RESTRUCTURE_CF">"c1107"</definedName>
    <definedName name="IQ_RESTRUCTURE_FIN">"c1108"</definedName>
    <definedName name="IQ_RESTRUCTURE_INS">"c1109"</definedName>
    <definedName name="IQ_RESTRUCTURE_RE">"c6264"</definedName>
    <definedName name="IQ_RESTRUCTURE_REIT">"c1110"</definedName>
    <definedName name="IQ_RESTRUCTURE_UTI">"c1111"</definedName>
    <definedName name="IQ_RESTRUCTURED_LOANS">"c1112"</definedName>
    <definedName name="IQ_RESTRUCTURED_LOANS_1_4_RESIDENTIAL_FDIC">"c6378"</definedName>
    <definedName name="IQ_RESTRUCTURED_LOANS_LEASES_FDIC">"c6377"</definedName>
    <definedName name="IQ_RESTRUCTURED_LOANS_NON_1_4_FDIC">"c6379"</definedName>
    <definedName name="IQ_RETAIL_ACQUIRED_FRANCHISE_STORES">"c2895"</definedName>
    <definedName name="IQ_RETAIL_ACQUIRED_OWNED_STORES">"c2903"</definedName>
    <definedName name="IQ_RETAIL_ACQUIRED_STORES">"c2887"</definedName>
    <definedName name="IQ_RETAIL_AVG_STORE_SIZE_GROSS">"c2066"</definedName>
    <definedName name="IQ_RETAIL_AVG_STORE_SIZE_NET">"c2067"</definedName>
    <definedName name="IQ_RETAIL_AVG_WK_SALES">"c2891"</definedName>
    <definedName name="IQ_RETAIL_AVG_WK_SALES_FRANCHISE">"c2899"</definedName>
    <definedName name="IQ_RETAIL_AVG_WK_SALES_OWNED">"c2907"</definedName>
    <definedName name="IQ_RETAIL_CLOSED_FRANCHISE_STORES">"c2896"</definedName>
    <definedName name="IQ_RETAIL_CLOSED_OWNED_STORES">"c2904"</definedName>
    <definedName name="IQ_RETAIL_CLOSED_STORES">"c2063"</definedName>
    <definedName name="IQ_RETAIL_DEPOSITS_FDIC">"c6488"</definedName>
    <definedName name="IQ_RETAIL_FRANCHISE_STORES_BEG">"c2893"</definedName>
    <definedName name="IQ_RETAIL_OPENED_FRANCHISE_STORES">"c2894"</definedName>
    <definedName name="IQ_RETAIL_OPENED_OWNED_STORES">"c2902"</definedName>
    <definedName name="IQ_RETAIL_OPENED_STORES">"c2062"</definedName>
    <definedName name="IQ_RETAIL_OWNED_STORES_BEG">"c2901"</definedName>
    <definedName name="IQ_RETAIL_SALES_SQFT_ALL_GROSS">"c2138"</definedName>
    <definedName name="IQ_RETAIL_SALES_SQFT_ALL_NET">"c2139"</definedName>
    <definedName name="IQ_RETAIL_SALES_SQFT_COMPARABLE_GROSS">"c2136"</definedName>
    <definedName name="IQ_RETAIL_SALES_SQFT_COMPARABLE_NET">"c2137"</definedName>
    <definedName name="IQ_RETAIL_SALES_SQFT_OWNED_GROSS">"c2134"</definedName>
    <definedName name="IQ_RETAIL_SALES_SQFT_OWNED_NET">"c2135"</definedName>
    <definedName name="IQ_RETAIL_SOLD_FRANCHISE_STORES">"c2897"</definedName>
    <definedName name="IQ_RETAIL_SOLD_OWNED_STORES">"c2905"</definedName>
    <definedName name="IQ_RETAIL_SOLD_STORES">"c2889"</definedName>
    <definedName name="IQ_RETAIL_SQ_FOOTAGE">"c2064"</definedName>
    <definedName name="IQ_RETAIL_STORE_SELLING_AREA">"c2065"</definedName>
    <definedName name="IQ_RETAIL_STORES_BEG">"c2885"</definedName>
    <definedName name="IQ_RETAIL_TOTAL_FRANCHISE_STORES">"c2898"</definedName>
    <definedName name="IQ_RETAIL_TOTAL_OWNED_STORES">"c2906"</definedName>
    <definedName name="IQ_RETAIL_TOTAL_STORES">"c2061"</definedName>
    <definedName name="IQ_RETAINED_EARN">"c1420"</definedName>
    <definedName name="IQ_RETAINED_EARNINGS_AVERAGE_EQUITY_FDIC">"c6733"</definedName>
    <definedName name="IQ_RETURN_ASSETS">"c1113"</definedName>
    <definedName name="IQ_RETURN_ASSETS_ACT_OR_EST">"c3585"</definedName>
    <definedName name="IQ_RETURN_ASSETS_ACT_OR_EST_REUT">"c5475"</definedName>
    <definedName name="IQ_RETURN_ASSETS_BANK">"c1114"</definedName>
    <definedName name="IQ_RETURN_ASSETS_BROK">"c1115"</definedName>
    <definedName name="IQ_RETURN_ASSETS_EST">"c3529"</definedName>
    <definedName name="IQ_RETURN_ASSETS_EST_REUT">"c3990"</definedName>
    <definedName name="IQ_RETURN_ASSETS_FDIC">"c6730"</definedName>
    <definedName name="IQ_RETURN_ASSETS_FS">"c1116"</definedName>
    <definedName name="IQ_RETURN_ASSETS_GUIDANCE">"c4517"</definedName>
    <definedName name="IQ_RETURN_ASSETS_HIGH_EST">"c3530"</definedName>
    <definedName name="IQ_RETURN_ASSETS_HIGH_EST_REUT">"c3992"</definedName>
    <definedName name="IQ_RETURN_ASSETS_HIGH_GUIDANCE">"c4183"</definedName>
    <definedName name="IQ_RETURN_ASSETS_LOW_EST">"c3531"</definedName>
    <definedName name="IQ_RETURN_ASSETS_LOW_EST_REUT">"c3993"</definedName>
    <definedName name="IQ_RETURN_ASSETS_LOW_GUIDANCE">"c4223"</definedName>
    <definedName name="IQ_RETURN_ASSETS_MEDIAN_EST">"c3532"</definedName>
    <definedName name="IQ_RETURN_ASSETS_MEDIAN_EST_REUT">"c3991"</definedName>
    <definedName name="IQ_RETURN_ASSETS_NUM_EST">"c3527"</definedName>
    <definedName name="IQ_RETURN_ASSETS_NUM_EST_REUT">"c3994"</definedName>
    <definedName name="IQ_RETURN_ASSETS_STDDEV_EST">"c3528"</definedName>
    <definedName name="IQ_RETURN_ASSETS_STDDEV_EST_REUT">"c3995"</definedName>
    <definedName name="IQ_RETURN_CAPITAL">"c1117"</definedName>
    <definedName name="IQ_RETURN_EQUITY">"c1118"</definedName>
    <definedName name="IQ_RETURN_EQUITY_ACT_OR_EST">"c3586"</definedName>
    <definedName name="IQ_RETURN_EQUITY_ACT_OR_EST_REUT">"c5476"</definedName>
    <definedName name="IQ_RETURN_EQUITY_BANK">"c1119"</definedName>
    <definedName name="IQ_RETURN_EQUITY_BROK">"c1120"</definedName>
    <definedName name="IQ_RETURN_EQUITY_EST">"c3535"</definedName>
    <definedName name="IQ_RETURN_EQUITY_EST_REUT">"c3983"</definedName>
    <definedName name="IQ_RETURN_EQUITY_FDIC">"c6732"</definedName>
    <definedName name="IQ_RETURN_EQUITY_FS">"c1121"</definedName>
    <definedName name="IQ_RETURN_EQUITY_GUIDANCE">"c4518"</definedName>
    <definedName name="IQ_RETURN_EQUITY_HIGH_EST">"c3536"</definedName>
    <definedName name="IQ_RETURN_EQUITY_HIGH_EST_REUT">"c3985"</definedName>
    <definedName name="IQ_RETURN_EQUITY_HIGH_GUIDANCE">"c4182"</definedName>
    <definedName name="IQ_RETURN_EQUITY_LOW_EST">"c3537"</definedName>
    <definedName name="IQ_RETURN_EQUITY_LOW_EST_REUT">"c3986"</definedName>
    <definedName name="IQ_RETURN_EQUITY_LOW_GUIDANCE">"c4222"</definedName>
    <definedName name="IQ_RETURN_EQUITY_MEDIAN_EST">"c3538"</definedName>
    <definedName name="IQ_RETURN_EQUITY_MEDIAN_EST_REUT">"c3984"</definedName>
    <definedName name="IQ_RETURN_EQUITY_NUM_EST">"c3533"</definedName>
    <definedName name="IQ_RETURN_EQUITY_NUM_EST_REUT">"c3987"</definedName>
    <definedName name="IQ_RETURN_EQUITY_STDDEV_EST">"c3534"</definedName>
    <definedName name="IQ_RETURN_EQUITY_STDDEV_EST_REUT">"c3988"</definedName>
    <definedName name="IQ_RETURN_INVESTMENT">"c1421"</definedName>
    <definedName name="IQ_REV">"c1122"</definedName>
    <definedName name="IQ_REV_BEFORE_LL">"c1123"</definedName>
    <definedName name="IQ_REV_STDDEV_EST">"c1124"</definedName>
    <definedName name="IQ_REV_STDDEV_EST_REUT">"c3639"</definedName>
    <definedName name="IQ_REV_UTI">"c1125"</definedName>
    <definedName name="IQ_REVALUATION_GAINS_FDIC">"c6428"</definedName>
    <definedName name="IQ_REVALUATION_LOSSES_FDIC">"c6429"</definedName>
    <definedName name="IQ_REVENUE">"c1422"</definedName>
    <definedName name="IQ_REVENUE_ACT_OR_EST">"c2214"</definedName>
    <definedName name="IQ_REVENUE_ACT_OR_EST_REUT">"c5461"</definedName>
    <definedName name="IQ_REVENUE_EST">"c1126"</definedName>
    <definedName name="IQ_REVENUE_EST_BOTTOM_UP">"c5488"</definedName>
    <definedName name="IQ_REVENUE_EST_BOTTOM_UP_REUT">"c5496"</definedName>
    <definedName name="IQ_REVENUE_EST_REUT">"c3634"</definedName>
    <definedName name="IQ_REVENUE_GUIDANCE">"c4519"</definedName>
    <definedName name="IQ_REVENUE_HIGH_EST">"c1127"</definedName>
    <definedName name="IQ_REVENUE_HIGH_EST_REUT">"c3636"</definedName>
    <definedName name="IQ_REVENUE_HIGH_GUIDANCE">"c4169"</definedName>
    <definedName name="IQ_REVENUE_LOW_EST">"c1128"</definedName>
    <definedName name="IQ_REVENUE_LOW_EST_REUT">"c3637"</definedName>
    <definedName name="IQ_REVENUE_LOW_GUIDANCE">"c4209"</definedName>
    <definedName name="IQ_REVENUE_MEDIAN_EST">"c1662"</definedName>
    <definedName name="IQ_REVENUE_MEDIAN_EST_REUT">"c3635"</definedName>
    <definedName name="IQ_REVENUE_NUM_EST">"c1129"</definedName>
    <definedName name="IQ_REVENUE_NUM_EST_REUT">"c3638"</definedName>
    <definedName name="IQ_REVISION_DATE_">39726.4547337963</definedName>
    <definedName name="IQ_RISK_ADJ_BANK_ASSETS">"c2670"</definedName>
    <definedName name="IQ_RISK_WEIGHTED_ASSETS_FDIC">"c6370"</definedName>
    <definedName name="IQ_SALARY">"c1130"</definedName>
    <definedName name="IQ_SALARY_FDIC">"c6576"</definedName>
    <definedName name="IQ_SALE_CONVERSION_RETIREMENT_STOCK_FDIC">"c6661"</definedName>
    <definedName name="IQ_SALE_INTAN_CF">"c1131"</definedName>
    <definedName name="IQ_SALE_INTAN_CF_BNK">"c1132"</definedName>
    <definedName name="IQ_SALE_INTAN_CF_BR">"c1133"</definedName>
    <definedName name="IQ_SALE_INTAN_CF_FIN">"c1134"</definedName>
    <definedName name="IQ_SALE_INTAN_CF_INS">"c1135"</definedName>
    <definedName name="IQ_SALE_INTAN_CF_RE">"c6284"</definedName>
    <definedName name="IQ_SALE_INTAN_CF_REIT">"c1627"</definedName>
    <definedName name="IQ_SALE_INTAN_CF_UTI">"c1136"</definedName>
    <definedName name="IQ_SALE_PPE_CF">"c1137"</definedName>
    <definedName name="IQ_SALE_PPE_CF_BNK">"c1138"</definedName>
    <definedName name="IQ_SALE_PPE_CF_BR">"c1139"</definedName>
    <definedName name="IQ_SALE_PPE_CF_FIN">"c1140"</definedName>
    <definedName name="IQ_SALE_PPE_CF_INS">"c1141"</definedName>
    <definedName name="IQ_SALE_PPE_CF_UTI">"c1142"</definedName>
    <definedName name="IQ_SALE_RE_ASSETS">"c1629"</definedName>
    <definedName name="IQ_SALE_REAL_ESTATE_CF">"c1143"</definedName>
    <definedName name="IQ_SALE_REAL_ESTATE_CF_BNK">"c1144"</definedName>
    <definedName name="IQ_SALE_REAL_ESTATE_CF_BR">"c1145"</definedName>
    <definedName name="IQ_SALE_REAL_ESTATE_CF_FIN">"c1146"</definedName>
    <definedName name="IQ_SALE_REAL_ESTATE_CF_INS">"c1147"</definedName>
    <definedName name="IQ_SALE_REAL_ESTATE_CF_UTI">"c1148"</definedName>
    <definedName name="IQ_SALES_MARKETING">"c2240"</definedName>
    <definedName name="IQ_SAME_STORE">"c1149"</definedName>
    <definedName name="IQ_SAME_STORE_FRANCHISE">"c2900"</definedName>
    <definedName name="IQ_SAME_STORE_OWNED">"c2908"</definedName>
    <definedName name="IQ_SAME_STORE_TOTAL">"c2892"</definedName>
    <definedName name="IQ_SAVING_DEP">"c1150"</definedName>
    <definedName name="IQ_SEC_PURCHASED_RESELL">"c5513"</definedName>
    <definedName name="IQ_SECUR_RECEIV">"c1151"</definedName>
    <definedName name="IQ_SECURED_1_4_FAMILY_RESIDENTIAL_CHARGE_OFFS_FDIC">"c6590"</definedName>
    <definedName name="IQ_SECURED_1_4_FAMILY_RESIDENTIAL_NET_CHARGE_OFFS_FDIC">"c6628"</definedName>
    <definedName name="IQ_SECURED_1_4_FAMILY_RESIDENTIAL_RECOVERIES_FDIC">"c6609"</definedName>
    <definedName name="IQ_SECURED_DEBT">"c2546"</definedName>
    <definedName name="IQ_SECURED_DEBT_PCT">"c2547"</definedName>
    <definedName name="IQ_SECURED_FARMLAND_CHARGE_OFFS_FDIC">"c6593"</definedName>
    <definedName name="IQ_SECURED_FARMLAND_NET_CHARGE_OFFS_FDIC">"c6631"</definedName>
    <definedName name="IQ_SECURED_FARMLAND_RECOVERIES_FDIC">"c6612"</definedName>
    <definedName name="IQ_SECURED_MULTIFAMILY_RESIDENTIAL_CHARGE_OFFS_FDIC">"c6591"</definedName>
    <definedName name="IQ_SECURED_MULTIFAMILY_RESIDENTIAL_NET_CHARGE_OFFS_FDIC">"c6629"</definedName>
    <definedName name="IQ_SECURED_MULTIFAMILY_RESIDENTIAL_RECOVERIES_FDIC">"c6610"</definedName>
    <definedName name="IQ_SECURED_NONFARM_NONRESIDENTIAL_CHARGE_OFFS_FDIC">"c6592"</definedName>
    <definedName name="IQ_SECURED_NONFARM_NONRESIDENTIAL_NET_CHARGE_OFFS_FDIC">"c6630"</definedName>
    <definedName name="IQ_SECURED_NONFARM_NONRESIDENTIAL_RECOVERIES_FDIC">"c6611"</definedName>
    <definedName name="IQ_SECURITIES_GAINS_FDIC">"c6584"</definedName>
    <definedName name="IQ_SECURITIES_ISSUED_STATES_FDIC">"c6300"</definedName>
    <definedName name="IQ_SECURITIES_LENT_FDIC">"c6532"</definedName>
    <definedName name="IQ_SECURITIES_UNDERWRITING_FDIC">"c6529"</definedName>
    <definedName name="IQ_SECURITY_BORROW">"c1152"</definedName>
    <definedName name="IQ_SECURITY_LEVEL">"c2159"</definedName>
    <definedName name="IQ_SECURITY_NOTES">"c2202"</definedName>
    <definedName name="IQ_SECURITY_OWN">"c1153"</definedName>
    <definedName name="IQ_SECURITY_RESELL">"c1154"</definedName>
    <definedName name="IQ_SECURITY_TYPE">"c2158"</definedName>
    <definedName name="IQ_SEPARATE_ACCT_ASSETS">"c1155"</definedName>
    <definedName name="IQ_SEPARATE_ACCT_LIAB">"c1156"</definedName>
    <definedName name="IQ_SERV_CHARGE_DEPOSITS">"c1157"</definedName>
    <definedName name="IQ_SERVICE_CHARGES_FDIC">"c6572"</definedName>
    <definedName name="IQ_SGA">"c1158"</definedName>
    <definedName name="IQ_SGA_BNK">"c1159"</definedName>
    <definedName name="IQ_SGA_INS">"c1160"</definedName>
    <definedName name="IQ_SGA_MARGIN">"c1898"</definedName>
    <definedName name="IQ_SGA_RE">"c6265"</definedName>
    <definedName name="IQ_SGA_REIT">"c1161"</definedName>
    <definedName name="IQ_SGA_SUPPL">"c1162"</definedName>
    <definedName name="IQ_SGA_UTI">"c1163"</definedName>
    <definedName name="IQ_SHAREOUTSTANDING">"c1347"</definedName>
    <definedName name="IQ_SHARES_PURCHASED_AVERAGE_PRICE">"c5821"</definedName>
    <definedName name="IQ_SHARES_PURCHASED_QUARTER">"c5820"</definedName>
    <definedName name="IQ_SHARESOUTSTANDING">"c1164"</definedName>
    <definedName name="IQ_SHORT_INTEREST">"c1165"</definedName>
    <definedName name="IQ_SHORT_INTEREST_OVER_FLOAT">"c1577"</definedName>
    <definedName name="IQ_SHORT_INTEREST_PERCENT">"c1576"</definedName>
    <definedName name="IQ_SHORT_TERM_INVEST">"c1425"</definedName>
    <definedName name="IQ_SMALL_INT_BEAR_CD">"c1166"</definedName>
    <definedName name="IQ_SOFTWARE">"c1167"</definedName>
    <definedName name="IQ_SOURCE">"c1168"</definedName>
    <definedName name="IQ_SP">"c2171"</definedName>
    <definedName name="IQ_SP_BANK">"c2637"</definedName>
    <definedName name="IQ_SP_BANK_ACTION">"c2636"</definedName>
    <definedName name="IQ_SP_BANK_DATE">"c2635"</definedName>
    <definedName name="IQ_SP_DATE">"c2172"</definedName>
    <definedName name="IQ_SP_FIN_ENHANCE_FX">"c2631"</definedName>
    <definedName name="IQ_SP_FIN_ENHANCE_FX_ACTION">"c2630"</definedName>
    <definedName name="IQ_SP_FIN_ENHANCE_FX_DATE">"c2629"</definedName>
    <definedName name="IQ_SP_FIN_ENHANCE_LC">"c2634"</definedName>
    <definedName name="IQ_SP_FIN_ENHANCE_LC_ACTION">"c2633"</definedName>
    <definedName name="IQ_SP_FIN_ENHANCE_LC_DATE">"c2632"</definedName>
    <definedName name="IQ_SP_FIN_STRENGTH_LC_ACTION_LT">"c2625"</definedName>
    <definedName name="IQ_SP_FIN_STRENGTH_LC_ACTION_ST">"c2626"</definedName>
    <definedName name="IQ_SP_FIN_STRENGTH_LC_DATE_LT">"c2623"</definedName>
    <definedName name="IQ_SP_FIN_STRENGTH_LC_DATE_ST">"c2624"</definedName>
    <definedName name="IQ_SP_FIN_STRENGTH_LC_LT">"c2627"</definedName>
    <definedName name="IQ_SP_FIN_STRENGTH_LC_ST">"c2628"</definedName>
    <definedName name="IQ_SP_FX_ACTION_LT">"c2613"</definedName>
    <definedName name="IQ_SP_FX_ACTION_ST">"c2614"</definedName>
    <definedName name="IQ_SP_FX_DATE_LT">"c2611"</definedName>
    <definedName name="IQ_SP_FX_DATE_ST">"c2612"</definedName>
    <definedName name="IQ_SP_FX_LT">"c2615"</definedName>
    <definedName name="IQ_SP_FX_ST">"c2616"</definedName>
    <definedName name="IQ_SP_ISSUE_ACTION">"c2644"</definedName>
    <definedName name="IQ_SP_ISSUE_DATE">"c2643"</definedName>
    <definedName name="IQ_SP_ISSUE_LT">"c2645"</definedName>
    <definedName name="IQ_SP_ISSUE_OUTLOOK_WATCH">"c2650"</definedName>
    <definedName name="IQ_SP_ISSUE_OUTLOOK_WATCH_DATE">"c2649"</definedName>
    <definedName name="IQ_SP_ISSUE_RECOVER">"c2648"</definedName>
    <definedName name="IQ_SP_ISSUE_RECOVER_ACTION">"c2647"</definedName>
    <definedName name="IQ_SP_ISSUE_RECOVER_DATE">"c2646"</definedName>
    <definedName name="IQ_SP_LC_ACTION_LT">"c2619"</definedName>
    <definedName name="IQ_SP_LC_ACTION_ST">"c2620"</definedName>
    <definedName name="IQ_SP_LC_DATE_LT">"c2617"</definedName>
    <definedName name="IQ_SP_LC_DATE_ST">"c2618"</definedName>
    <definedName name="IQ_SP_LC_LT">"c2621"</definedName>
    <definedName name="IQ_SP_LC_ST">"c2622"</definedName>
    <definedName name="IQ_SP_OUTLOOK_WATCH">"c2639"</definedName>
    <definedName name="IQ_SP_OUTLOOK_WATCH_DATE">"c2638"</definedName>
    <definedName name="IQ_SP_REASON">"c2174"</definedName>
    <definedName name="IQ_SP_STATUS">"c2173"</definedName>
    <definedName name="IQ_SPECIAL_DIV_CF">"c1169"</definedName>
    <definedName name="IQ_SPECIAL_DIV_CF_BNK">"c1170"</definedName>
    <definedName name="IQ_SPECIAL_DIV_CF_BR">"c1171"</definedName>
    <definedName name="IQ_SPECIAL_DIV_CF_FIN">"c1172"</definedName>
    <definedName name="IQ_SPECIAL_DIV_CF_INS">"c1173"</definedName>
    <definedName name="IQ_SPECIAL_DIV_CF_RE">"c6266"</definedName>
    <definedName name="IQ_SPECIAL_DIV_CF_REIT">"c1174"</definedName>
    <definedName name="IQ_SPECIAL_DIV_CF_UTI">"c1175"</definedName>
    <definedName name="IQ_SPECIAL_DIV_SHARE">"c3007"</definedName>
    <definedName name="IQ_SR_BONDS_NOTES">"c2501"</definedName>
    <definedName name="IQ_SR_BONDS_NOTES_PCT">"c2502"</definedName>
    <definedName name="IQ_SR_DEBT">"c2526"</definedName>
    <definedName name="IQ_SR_DEBT_EBITDA">"c2552"</definedName>
    <definedName name="IQ_SR_DEBT_EBITDA_CAPEX">"c2553"</definedName>
    <definedName name="IQ_SR_DEBT_PCT">"c2527"</definedName>
    <definedName name="IQ_SR_SUB_DEBT">"c2530"</definedName>
    <definedName name="IQ_SR_SUB_DEBT_EBITDA">"c2556"</definedName>
    <definedName name="IQ_SR_SUB_DEBT_EBITDA_CAPEX">"c2557"</definedName>
    <definedName name="IQ_SR_SUB_DEBT_PCT">"c2531"</definedName>
    <definedName name="IQ_ST_DEBT">"c1176"</definedName>
    <definedName name="IQ_ST_DEBT_BNK">"c1177"</definedName>
    <definedName name="IQ_ST_DEBT_BR">"c1178"</definedName>
    <definedName name="IQ_ST_DEBT_FIN">"c1179"</definedName>
    <definedName name="IQ_ST_DEBT_INS">"c1180"</definedName>
    <definedName name="IQ_ST_DEBT_ISSUED">"c1181"</definedName>
    <definedName name="IQ_ST_DEBT_ISSUED_BNK">"c1182"</definedName>
    <definedName name="IQ_ST_DEBT_ISSUED_BR">"c1183"</definedName>
    <definedName name="IQ_ST_DEBT_ISSUED_FIN">"c1184"</definedName>
    <definedName name="IQ_ST_DEBT_ISSUED_INS">"c1185"</definedName>
    <definedName name="IQ_ST_DEBT_ISSUED_RE">"c6267"</definedName>
    <definedName name="IQ_ST_DEBT_ISSUED_REIT">"c1186"</definedName>
    <definedName name="IQ_ST_DEBT_ISSUED_UTI">"c1187"</definedName>
    <definedName name="IQ_ST_DEBT_PCT">"c2539"</definedName>
    <definedName name="IQ_ST_DEBT_RE">"c6268"</definedName>
    <definedName name="IQ_ST_DEBT_REIT">"c1188"</definedName>
    <definedName name="IQ_ST_DEBT_REPAID">"c1189"</definedName>
    <definedName name="IQ_ST_DEBT_REPAID_BNK">"c1190"</definedName>
    <definedName name="IQ_ST_DEBT_REPAID_BR">"c1191"</definedName>
    <definedName name="IQ_ST_DEBT_REPAID_FIN">"c1192"</definedName>
    <definedName name="IQ_ST_DEBT_REPAID_INS">"c1193"</definedName>
    <definedName name="IQ_ST_DEBT_REPAID_RE">"c6269"</definedName>
    <definedName name="IQ_ST_DEBT_REPAID_REIT">"c1194"</definedName>
    <definedName name="IQ_ST_DEBT_REPAID_UTI">"c1195"</definedName>
    <definedName name="IQ_ST_DEBT_UTI">"c1196"</definedName>
    <definedName name="IQ_ST_FHLB_DEBT">"c5658"</definedName>
    <definedName name="IQ_ST_INVEST">"c1197"</definedName>
    <definedName name="IQ_ST_INVEST_UTI">"c1198"</definedName>
    <definedName name="IQ_ST_NOTE_RECEIV">"c1199"</definedName>
    <definedName name="IQ_STATE">"c1200"</definedName>
    <definedName name="IQ_STATES_NONTRANSACTION_ACCOUNTS_FDIC">"c6547"</definedName>
    <definedName name="IQ_STATES_TOTAL_DEPOSITS_FDIC">"c6473"</definedName>
    <definedName name="IQ_STATES_TRANSACTION_ACCOUNTS_FDIC">"c6539"</definedName>
    <definedName name="IQ_STATUTORY_SURPLUS">"c1201"</definedName>
    <definedName name="IQ_STOCK_BASED">"c1202"</definedName>
    <definedName name="IQ_STOCK_BASED_AT">"c2999"</definedName>
    <definedName name="IQ_STOCK_BASED_CF">"c1203"</definedName>
    <definedName name="IQ_STOCK_BASED_COGS">"c2990"</definedName>
    <definedName name="IQ_STOCK_BASED_COMP">"c3512"</definedName>
    <definedName name="IQ_STOCK_BASED_COMP_PRETAX">"c3510"</definedName>
    <definedName name="IQ_STOCK_BASED_COMP_TAX">"c3511"</definedName>
    <definedName name="IQ_STOCK_BASED_EST">"c4520"</definedName>
    <definedName name="IQ_STOCK_BASED_GA">"c2993"</definedName>
    <definedName name="IQ_STOCK_BASED_HIGH_EST">"c4521"</definedName>
    <definedName name="IQ_STOCK_BASED_LOW_EST">"c4522"</definedName>
    <definedName name="IQ_STOCK_BASED_MEDIAN_EST">"c4523"</definedName>
    <definedName name="IQ_STOCK_BASED_NUM_EST">"c4524"</definedName>
    <definedName name="IQ_STOCK_BASED_OTHER">"c2995"</definedName>
    <definedName name="IQ_STOCK_BASED_RD">"c2991"</definedName>
    <definedName name="IQ_STOCK_BASED_SGA">"c2994"</definedName>
    <definedName name="IQ_STOCK_BASED_SM">"c2992"</definedName>
    <definedName name="IQ_STOCK_BASED_STDDEV_EST">"c4525"</definedName>
    <definedName name="IQ_STOCK_BASED_TOTAL">"c3040"</definedName>
    <definedName name="IQ_STOCK_OPTIONS_COMP">"c3509"</definedName>
    <definedName name="IQ_STOCK_OPTIONS_COMP_PRETAX">"c3507"</definedName>
    <definedName name="IQ_STOCK_OPTIONS_COMP_TAX">"c3508"</definedName>
    <definedName name="IQ_STRATEGY_NOTE">"c6791"</definedName>
    <definedName name="IQ_STRIKE_PRICE_ISSUED">"c1645"</definedName>
    <definedName name="IQ_STRIKE_PRICE_OS">"c1646"</definedName>
    <definedName name="IQ_STW">"c2166"</definedName>
    <definedName name="IQ_SUB_BONDS_NOTES">"c2503"</definedName>
    <definedName name="IQ_SUB_BONDS_NOTES_PCT">"c2504"</definedName>
    <definedName name="IQ_SUB_DEBT">"c2532"</definedName>
    <definedName name="IQ_SUB_DEBT_EBITDA">"c2558"</definedName>
    <definedName name="IQ_SUB_DEBT_EBITDA_CAPEX">"c2559"</definedName>
    <definedName name="IQ_SUB_DEBT_FDIC">"c6346"</definedName>
    <definedName name="IQ_SUB_DEBT_PCT">"c2533"</definedName>
    <definedName name="IQ_SUB_LEASE_AFTER_FIVE">"c1207"</definedName>
    <definedName name="IQ_SUB_LEASE_INC_CY">"c1208"</definedName>
    <definedName name="IQ_SUB_LEASE_INC_CY1">"c1209"</definedName>
    <definedName name="IQ_SUB_LEASE_INC_CY2">"c1210"</definedName>
    <definedName name="IQ_SUB_LEASE_INC_CY3">"c1211"</definedName>
    <definedName name="IQ_SUB_LEASE_INC_CY4">"c1212"</definedName>
    <definedName name="IQ_SUB_LEASE_NEXT_FIVE">"c1213"</definedName>
    <definedName name="IQ_SURPLUS_FDIC">"c6351"</definedName>
    <definedName name="IQ_SVA">"c1214"</definedName>
    <definedName name="IQ_TARGET_PRICE_NUM">"c1653"</definedName>
    <definedName name="IQ_TARGET_PRICE_NUM_REUT">"c5319"</definedName>
    <definedName name="IQ_TARGET_PRICE_STDDEV">"c1654"</definedName>
    <definedName name="IQ_TARGET_PRICE_STDDEV_REUT">"c5320"</definedName>
    <definedName name="IQ_TAX_BENEFIT_CF_1YR">"c3483"</definedName>
    <definedName name="IQ_TAX_BENEFIT_CF_2YR">"c3484"</definedName>
    <definedName name="IQ_TAX_BENEFIT_CF_3YR">"c3485"</definedName>
    <definedName name="IQ_TAX_BENEFIT_CF_4YR">"c3486"</definedName>
    <definedName name="IQ_TAX_BENEFIT_CF_5YR">"c3487"</definedName>
    <definedName name="IQ_TAX_BENEFIT_CF_AFTER_FIVE">"c3488"</definedName>
    <definedName name="IQ_TAX_BENEFIT_CF_MAX_YEAR">"c3491"</definedName>
    <definedName name="IQ_TAX_BENEFIT_CF_NO_EXP">"c3489"</definedName>
    <definedName name="IQ_TAX_BENEFIT_CF_TOTAL">"c3490"</definedName>
    <definedName name="IQ_TAX_BENEFIT_OPTIONS">"c1215"</definedName>
    <definedName name="IQ_TAX_EQUIV_NET_INT_INC">"c1216"</definedName>
    <definedName name="IQ_TBV">"c1906"</definedName>
    <definedName name="IQ_TBV_10YR_ANN_CAGR">"c6169"</definedName>
    <definedName name="IQ_TBV_10YR_ANN_GROWTH">"c1936"</definedName>
    <definedName name="IQ_TBV_1YR_ANN_GROWTH">"c1931"</definedName>
    <definedName name="IQ_TBV_2YR_ANN_CAGR">"c6165"</definedName>
    <definedName name="IQ_TBV_2YR_ANN_GROWTH">"c1932"</definedName>
    <definedName name="IQ_TBV_3YR_ANN_CAGR">"c6166"</definedName>
    <definedName name="IQ_TBV_3YR_ANN_GROWTH">"c1933"</definedName>
    <definedName name="IQ_TBV_5YR_ANN_CAGR">"c6167"</definedName>
    <definedName name="IQ_TBV_5YR_ANN_GROWTH">"c1934"</definedName>
    <definedName name="IQ_TBV_7YR_ANN_CAGR">"c6168"</definedName>
    <definedName name="IQ_TBV_7YR_ANN_GROWTH">"c1935"</definedName>
    <definedName name="IQ_TBV_SHARE">"c1217"</definedName>
    <definedName name="IQ_TEMPLATE">"c1521"</definedName>
    <definedName name="IQ_TENANT">"c1218"</definedName>
    <definedName name="IQ_TERM_LOANS">"c2499"</definedName>
    <definedName name="IQ_TERM_LOANS_PCT">"c2500"</definedName>
    <definedName name="IQ_TEV">"c1219"</definedName>
    <definedName name="IQ_TEV_EBIT">"c1220"</definedName>
    <definedName name="IQ_TEV_EBIT_AVG">"c1221"</definedName>
    <definedName name="IQ_TEV_EBIT_FWD">"c2238"</definedName>
    <definedName name="IQ_TEV_EBIT_FWD_REUT">"c4054"</definedName>
    <definedName name="IQ_TEV_EBITDA">"c1222"</definedName>
    <definedName name="IQ_TEV_EBITDA_AVG">"c1223"</definedName>
    <definedName name="IQ_TEV_EBITDA_FWD">"c1224"</definedName>
    <definedName name="IQ_TEV_EBITDA_FWD_REUT">"c4050"</definedName>
    <definedName name="IQ_TEV_EMPLOYEE_AVG">"c1225"</definedName>
    <definedName name="IQ_TEV_EST">"c4526"</definedName>
    <definedName name="IQ_TEV_HIGH_EST">"c4527"</definedName>
    <definedName name="IQ_TEV_LOW_EST">"c4528"</definedName>
    <definedName name="IQ_TEV_MEDIAN_EST">"c4529"</definedName>
    <definedName name="IQ_TEV_NUM_EST">"c4530"</definedName>
    <definedName name="IQ_TEV_STDDEV_EST">"c4531"</definedName>
    <definedName name="IQ_TEV_TOTAL_REV">"c1226"</definedName>
    <definedName name="IQ_TEV_TOTAL_REV_AVG">"c1227"</definedName>
    <definedName name="IQ_TEV_TOTAL_REV_FWD">"c1228"</definedName>
    <definedName name="IQ_TEV_TOTAL_REV_FWD_REUT">"c4051"</definedName>
    <definedName name="IQ_TEV_UFCF">"c2208"</definedName>
    <definedName name="IQ_THREE_MONTHS_FIXED_AND_FLOATING_FDIC">"c6419"</definedName>
    <definedName name="IQ_THREE_MONTHS_MORTGAGE_PASS_THROUGHS_FDIC">"c6411"</definedName>
    <definedName name="IQ_THREE_YEAR_FIXED_AND_FLOATING_RATE_FDIC">"c6421"</definedName>
    <definedName name="IQ_THREE_YEAR_MORTGAGE_PASS_THROUGHS_FDIC">"c6413"</definedName>
    <definedName name="IQ_THREE_YEARS_LESS_FDIC">"c6417"</definedName>
    <definedName name="IQ_TIER_1_RISK_BASED_CAPITAL_RATIO_FDIC">"c6746"</definedName>
    <definedName name="IQ_TIER_ONE_CAPITAL">"c2667"</definedName>
    <definedName name="IQ_TIER_ONE_FDIC">"c6369"</definedName>
    <definedName name="IQ_TIER_ONE_RATIO">"c1229"</definedName>
    <definedName name="IQ_TIER_TWO_CAPITAL">"c2669"</definedName>
    <definedName name="IQ_TIME_DEP">"c1230"</definedName>
    <definedName name="IQ_TIME_DEPOSITS_LESS_THAN_100K_FDIC">"c6465"</definedName>
    <definedName name="IQ_TIME_DEPOSITS_MORE_THAN_100K_FDIC">"c6470"</definedName>
    <definedName name="IQ_TODAY">0</definedName>
    <definedName name="IQ_TOT_ADJ_INC">"c1616"</definedName>
    <definedName name="IQ_TOTAL_AR_BR">"c1231"</definedName>
    <definedName name="IQ_TOTAL_AR_RE">"c6270"</definedName>
    <definedName name="IQ_TOTAL_AR_REIT">"c1232"</definedName>
    <definedName name="IQ_TOTAL_AR_UTI">"c1233"</definedName>
    <definedName name="IQ_TOTAL_ASSETS">"c1234"</definedName>
    <definedName name="IQ_TOTAL_ASSETS_10YR_ANN_CAGR">"c6140"</definedName>
    <definedName name="IQ_TOTAL_ASSETS_10YR_ANN_GROWTH">"c1235"</definedName>
    <definedName name="IQ_TOTAL_ASSETS_1YR_ANN_GROWTH">"c1236"</definedName>
    <definedName name="IQ_TOTAL_ASSETS_2YR_ANN_CAGR">"c6141"</definedName>
    <definedName name="IQ_TOTAL_ASSETS_2YR_ANN_GROWTH">"c1237"</definedName>
    <definedName name="IQ_TOTAL_ASSETS_3YR_ANN_CAGR">"c6142"</definedName>
    <definedName name="IQ_TOTAL_ASSETS_3YR_ANN_GROWTH">"c1238"</definedName>
    <definedName name="IQ_TOTAL_ASSETS_5YR_ANN_CAGR">"c6143"</definedName>
    <definedName name="IQ_TOTAL_ASSETS_5YR_ANN_GROWTH">"c1239"</definedName>
    <definedName name="IQ_TOTAL_ASSETS_7YR_ANN_CAGR">"c6144"</definedName>
    <definedName name="IQ_TOTAL_ASSETS_7YR_ANN_GROWTH">"c1240"</definedName>
    <definedName name="IQ_TOTAL_ASSETS_FDIC">"c6339"</definedName>
    <definedName name="IQ_TOTAL_AVG_CE_TOTAL_AVG_ASSETS">"c1241"</definedName>
    <definedName name="IQ_TOTAL_AVG_EQUITY_TOTAL_AVG_ASSETS">"c1242"</definedName>
    <definedName name="IQ_TOTAL_BANK_CAPITAL">"c2668"</definedName>
    <definedName name="IQ_TOTAL_CA">"c1243"</definedName>
    <definedName name="IQ_TOTAL_CAP">"c1507"</definedName>
    <definedName name="IQ_TOTAL_CAPITAL_RATIO">"c1244"</definedName>
    <definedName name="IQ_TOTAL_CASH_DIVID">"c1455"</definedName>
    <definedName name="IQ_TOTAL_CASH_FINAN">"c1352"</definedName>
    <definedName name="IQ_TOTAL_CASH_INVEST">"c1353"</definedName>
    <definedName name="IQ_TOTAL_CASH_OPER">"c1354"</definedName>
    <definedName name="IQ_TOTAL_CHARGE_OFFS_FDIC">"c6603"</definedName>
    <definedName name="IQ_TOTAL_CHURN">"c2122"</definedName>
    <definedName name="IQ_TOTAL_CL">"c1245"</definedName>
    <definedName name="IQ_TOTAL_COMMON">"c1411"</definedName>
    <definedName name="IQ_TOTAL_COMMON_EQUITY">"c1246"</definedName>
    <definedName name="IQ_TOTAL_CURRENT_ASSETS">"c1430"</definedName>
    <definedName name="IQ_TOTAL_CURRENT_LIAB">"c1431"</definedName>
    <definedName name="IQ_TOTAL_DEBT">"c1247"</definedName>
    <definedName name="IQ_TOTAL_DEBT_CAPITAL">"c1248"</definedName>
    <definedName name="IQ_TOTAL_DEBT_EBITDA">"c1249"</definedName>
    <definedName name="IQ_TOTAL_DEBT_EBITDA_CAPEX">"c2948"</definedName>
    <definedName name="IQ_TOTAL_DEBT_EQUITY">"c1250"</definedName>
    <definedName name="IQ_TOTAL_DEBT_EST">"c4532"</definedName>
    <definedName name="IQ_TOTAL_DEBT_EXCL_FIN">"c2937"</definedName>
    <definedName name="IQ_TOTAL_DEBT_GUIDANCE">"c4533"</definedName>
    <definedName name="IQ_TOTAL_DEBT_HIGH_EST">"c4534"</definedName>
    <definedName name="IQ_TOTAL_DEBT_HIGH_GUIDANCE">"c4196"</definedName>
    <definedName name="IQ_TOTAL_DEBT_ISSUED">"c1251"</definedName>
    <definedName name="IQ_TOTAL_DEBT_ISSUED_BNK">"c1252"</definedName>
    <definedName name="IQ_TOTAL_DEBT_ISSUED_BR">"c1253"</definedName>
    <definedName name="IQ_TOTAL_DEBT_ISSUED_FIN">"c1254"</definedName>
    <definedName name="IQ_TOTAL_DEBT_ISSUED_RE">"c6271"</definedName>
    <definedName name="IQ_TOTAL_DEBT_ISSUED_REIT">"c1255"</definedName>
    <definedName name="IQ_TOTAL_DEBT_ISSUED_UTI">"c1256"</definedName>
    <definedName name="IQ_TOTAL_DEBT_ISSUES_INS">"c1257"</definedName>
    <definedName name="IQ_TOTAL_DEBT_LOW_EST">"c4535"</definedName>
    <definedName name="IQ_TOTAL_DEBT_LOW_GUIDANCE">"c4236"</definedName>
    <definedName name="IQ_TOTAL_DEBT_MEDIAN_EST">"c4536"</definedName>
    <definedName name="IQ_TOTAL_DEBT_NUM_EST">"c4537"</definedName>
    <definedName name="IQ_TOTAL_DEBT_OVER_EBITDA">"c1433"</definedName>
    <definedName name="IQ_TOTAL_DEBT_OVER_TOTAL_BV">"c1434"</definedName>
    <definedName name="IQ_TOTAL_DEBT_OVER_TOTAL_CAP">"c1432"</definedName>
    <definedName name="IQ_TOTAL_DEBT_REPAID">"c1258"</definedName>
    <definedName name="IQ_TOTAL_DEBT_REPAID_BNK">"c1259"</definedName>
    <definedName name="IQ_TOTAL_DEBT_REPAID_BR">"c1260"</definedName>
    <definedName name="IQ_TOTAL_DEBT_REPAID_FIN">"c1261"</definedName>
    <definedName name="IQ_TOTAL_DEBT_REPAID_INS">"c1262"</definedName>
    <definedName name="IQ_TOTAL_DEBT_REPAID_RE">"c6272"</definedName>
    <definedName name="IQ_TOTAL_DEBT_REPAID_REIT">"c1263"</definedName>
    <definedName name="IQ_TOTAL_DEBT_REPAID_UTI">"c1264"</definedName>
    <definedName name="IQ_TOTAL_DEBT_SECURITIES_FDIC">"c6410"</definedName>
    <definedName name="IQ_TOTAL_DEBT_STDDEV_EST">"c4538"</definedName>
    <definedName name="IQ_TOTAL_DEPOSITS">"c1265"</definedName>
    <definedName name="IQ_TOTAL_DEPOSITS_FDIC">"c6342"</definedName>
    <definedName name="IQ_TOTAL_DIV_PAID_CF">"c1266"</definedName>
    <definedName name="IQ_TOTAL_EMPLOYEE">"c2141"</definedName>
    <definedName name="IQ_TOTAL_EMPLOYEES">"c1522"</definedName>
    <definedName name="IQ_TOTAL_EMPLOYEES_FDIC">"c6355"</definedName>
    <definedName name="IQ_TOTAL_EQUITY">"c1267"</definedName>
    <definedName name="IQ_TOTAL_EQUITY_10YR_ANN_CAGR">"c6145"</definedName>
    <definedName name="IQ_TOTAL_EQUITY_10YR_ANN_GROWTH">"c1268"</definedName>
    <definedName name="IQ_TOTAL_EQUITY_1YR_ANN_GROWTH">"c1269"</definedName>
    <definedName name="IQ_TOTAL_EQUITY_2YR_ANN_CAGR">"c6146"</definedName>
    <definedName name="IQ_TOTAL_EQUITY_2YR_ANN_GROWTH">"c1270"</definedName>
    <definedName name="IQ_TOTAL_EQUITY_3YR_ANN_CAGR">"c6147"</definedName>
    <definedName name="IQ_TOTAL_EQUITY_3YR_ANN_GROWTH">"c1271"</definedName>
    <definedName name="IQ_TOTAL_EQUITY_5YR_ANN_CAGR">"c6148"</definedName>
    <definedName name="IQ_TOTAL_EQUITY_5YR_ANN_GROWTH">"c1272"</definedName>
    <definedName name="IQ_TOTAL_EQUITY_7YR_ANN_CAGR">"c6149"</definedName>
    <definedName name="IQ_TOTAL_EQUITY_7YR_ANN_GROWTH">"c1273"</definedName>
    <definedName name="IQ_TOTAL_EQUITY_ALLOWANCE_TOTAL_LOANS">"c1274"</definedName>
    <definedName name="IQ_TOTAL_INTEREST_EXP">"c1382"</definedName>
    <definedName name="IQ_TOTAL_INVENTORY">"c1385"</definedName>
    <definedName name="IQ_TOTAL_INVEST">"c1275"</definedName>
    <definedName name="IQ_TOTAL_LIAB">"c1276"</definedName>
    <definedName name="IQ_TOTAL_LIAB_BNK">"c1277"</definedName>
    <definedName name="IQ_TOTAL_LIAB_BR">"c1278"</definedName>
    <definedName name="IQ_TOTAL_LIAB_EQUITY">"c1279"</definedName>
    <definedName name="IQ_TOTAL_LIAB_EQUITY_FDIC">"c6354"</definedName>
    <definedName name="IQ_TOTAL_LIAB_FIN">"c1280"</definedName>
    <definedName name="IQ_TOTAL_LIAB_INS">"c1281"</definedName>
    <definedName name="IQ_TOTAL_LIAB_RE">"c6273"</definedName>
    <definedName name="IQ_TOTAL_LIAB_REIT">"c1282"</definedName>
    <definedName name="IQ_TOTAL_LIAB_SHAREHOLD">"c1435"</definedName>
    <definedName name="IQ_TOTAL_LIAB_TOTAL_ASSETS">"c1283"</definedName>
    <definedName name="IQ_TOTAL_LIABILITIES_FDIC">"c6348"</definedName>
    <definedName name="IQ_TOTAL_LOANS">"c5653"</definedName>
    <definedName name="IQ_TOTAL_LONG_DEBT">"c1617"</definedName>
    <definedName name="IQ_TOTAL_NON_REC">"c1444"</definedName>
    <definedName name="IQ_TOTAL_OPER_EXP_BR">"c1284"</definedName>
    <definedName name="IQ_TOTAL_OPER_EXP_FIN">"c1285"</definedName>
    <definedName name="IQ_TOTAL_OPER_EXP_INS">"c1286"</definedName>
    <definedName name="IQ_TOTAL_OPER_EXP_RE">"c6274"</definedName>
    <definedName name="IQ_TOTAL_OPER_EXP_REIT">"c1287"</definedName>
    <definedName name="IQ_TOTAL_OPER_EXP_UTI">"c1288"</definedName>
    <definedName name="IQ_TOTAL_OPER_EXPEN">"c1445"</definedName>
    <definedName name="IQ_TOTAL_OPTIONS_BEG_OS">"c2693"</definedName>
    <definedName name="IQ_TOTAL_OPTIONS_CANCELLED">"c2696"</definedName>
    <definedName name="IQ_TOTAL_OPTIONS_END_OS">"c2697"</definedName>
    <definedName name="IQ_TOTAL_OPTIONS_EXERCISABLE_END_OS">"c5819"</definedName>
    <definedName name="IQ_TOTAL_OPTIONS_EXERCISED">"c2695"</definedName>
    <definedName name="IQ_TOTAL_OPTIONS_GRANTED">"c2694"</definedName>
    <definedName name="IQ_TOTAL_OTHER_OPER">"c1289"</definedName>
    <definedName name="IQ_TOTAL_OUTSTANDING_BS_DATE">"c1022"</definedName>
    <definedName name="IQ_TOTAL_OUTSTANDING_FILING_DATE">"c2107"</definedName>
    <definedName name="IQ_TOTAL_PENSION_ASSETS">"c1290"</definedName>
    <definedName name="IQ_TOTAL_PENSION_ASSETS_DOMESTIC">"c2658"</definedName>
    <definedName name="IQ_TOTAL_PENSION_ASSETS_FOREIGN">"c2666"</definedName>
    <definedName name="IQ_TOTAL_PENSION_EXP">"c1291"</definedName>
    <definedName name="IQ_TOTAL_PENSION_OBLIGATION">"c1292"</definedName>
    <definedName name="IQ_TOTAL_PRINCIPAL">"c2509"</definedName>
    <definedName name="IQ_TOTAL_PRINCIPAL_PCT">"c2510"</definedName>
    <definedName name="IQ_TOTAL_PROVED_RESERVES_NGL">"c2924"</definedName>
    <definedName name="IQ_TOTAL_PROVED_RESERVES_OIL">"c2040"</definedName>
    <definedName name="IQ_TOTAL_RECEIV">"c1293"</definedName>
    <definedName name="IQ_TOTAL_RECOVERIES_FDIC">"c6622"</definedName>
    <definedName name="IQ_TOTAL_REV">"c1294"</definedName>
    <definedName name="IQ_TOTAL_REV_10YR_ANN_CAGR">"c6150"</definedName>
    <definedName name="IQ_TOTAL_REV_10YR_ANN_GROWTH">"c1295"</definedName>
    <definedName name="IQ_TOTAL_REV_1YR_ANN_GROWTH">"c1296"</definedName>
    <definedName name="IQ_TOTAL_REV_2YR_ANN_CAGR">"c6151"</definedName>
    <definedName name="IQ_TOTAL_REV_2YR_ANN_GROWTH">"c1297"</definedName>
    <definedName name="IQ_TOTAL_REV_3YR_ANN_CAGR">"c6152"</definedName>
    <definedName name="IQ_TOTAL_REV_3YR_ANN_GROWTH">"c1298"</definedName>
    <definedName name="IQ_TOTAL_REV_5YR_ANN_CAGR">"c6153"</definedName>
    <definedName name="IQ_TOTAL_REV_5YR_ANN_GROWTH">"c1299"</definedName>
    <definedName name="IQ_TOTAL_REV_7YR_ANN_CAGR">"c6154"</definedName>
    <definedName name="IQ_TOTAL_REV_7YR_ANN_GROWTH">"c1300"</definedName>
    <definedName name="IQ_TOTAL_REV_AS_REPORTED">"c1301"</definedName>
    <definedName name="IQ_TOTAL_REV_BNK">"c1302"</definedName>
    <definedName name="IQ_TOTAL_REV_BNK_FDIC">"c6786"</definedName>
    <definedName name="IQ_TOTAL_REV_BR">"c1303"</definedName>
    <definedName name="IQ_TOTAL_REV_EMPLOYEE">"c1304"</definedName>
    <definedName name="IQ_TOTAL_REV_FIN">"c1305"</definedName>
    <definedName name="IQ_TOTAL_REV_INS">"c1306"</definedName>
    <definedName name="IQ_TOTAL_REV_RE">"c6275"</definedName>
    <definedName name="IQ_TOTAL_REV_REIT">"c1307"</definedName>
    <definedName name="IQ_TOTAL_REV_SHARE">"c1912"</definedName>
    <definedName name="IQ_TOTAL_REV_UTI">"c1308"</definedName>
    <definedName name="IQ_TOTAL_REVENUE">"c1436"</definedName>
    <definedName name="IQ_TOTAL_RISK_BASED_CAPITAL_RATIO_FDIC">"c6747"</definedName>
    <definedName name="IQ_TOTAL_SECURITIES_FDIC">"c6306"</definedName>
    <definedName name="IQ_TOTAL_SPECIAL">"c1618"</definedName>
    <definedName name="IQ_TOTAL_ST_BORROW">"c1424"</definedName>
    <definedName name="IQ_TOTAL_SUB_DEBT">"c2528"</definedName>
    <definedName name="IQ_TOTAL_SUB_DEBT_EBITDA">"c2554"</definedName>
    <definedName name="IQ_TOTAL_SUB_DEBT_EBITDA_CAPEX">"c2555"</definedName>
    <definedName name="IQ_TOTAL_SUB_DEBT_PCT">"c2529"</definedName>
    <definedName name="IQ_TOTAL_SUBS">"c2119"</definedName>
    <definedName name="IQ_TOTAL_TIME_DEPOSITS_FDIC">"c6497"</definedName>
    <definedName name="IQ_TOTAL_TIME_SAVINGS_DEPOSITS_FDIC">"c6498"</definedName>
    <definedName name="IQ_TOTAL_UNUSED_COMMITMENTS_FDIC">"c6536"</definedName>
    <definedName name="IQ_TOTAL_UNUSUAL">"c1508"</definedName>
    <definedName name="IQ_TOTAL_UNUSUAL_BNK">"c5516"</definedName>
    <definedName name="IQ_TOTAL_UNUSUAL_BR">"c5517"</definedName>
    <definedName name="IQ_TOTAL_UNUSUAL_FIN">"c5518"</definedName>
    <definedName name="IQ_TOTAL_UNUSUAL_INS">"c5519"</definedName>
    <definedName name="IQ_TOTAL_UNUSUAL_RE">"c6286"</definedName>
    <definedName name="IQ_TOTAL_UNUSUAL_REIT">"c5520"</definedName>
    <definedName name="IQ_TOTAL_UNUSUAL_UTI">"c5521"</definedName>
    <definedName name="IQ_TOTAL_WARRANTS_BEG_OS">"c2719"</definedName>
    <definedName name="IQ_TOTAL_WARRANTS_CANCELLED">"c2722"</definedName>
    <definedName name="IQ_TOTAL_WARRANTS_END_OS">"c2723"</definedName>
    <definedName name="IQ_TOTAL_WARRANTS_EXERCISED">"c2721"</definedName>
    <definedName name="IQ_TOTAL_WARRANTS_ISSUED">"c2720"</definedName>
    <definedName name="IQ_TR_ACCT_METHOD">"c2363"</definedName>
    <definedName name="IQ_TR_ACQ_52_WK_HI_PCT">"c2348"</definedName>
    <definedName name="IQ_TR_ACQ_52_WK_LOW_PCT">"c2347"</definedName>
    <definedName name="IQ_TR_ACQ_CASH_ST_INVEST">"c2372"</definedName>
    <definedName name="IQ_TR_ACQ_CLOSEPRICE_1D">"c3027"</definedName>
    <definedName name="IQ_TR_ACQ_DILUT_EPS_EXCL">"c3028"</definedName>
    <definedName name="IQ_TR_ACQ_EARNING_CO">"c2379"</definedName>
    <definedName name="IQ_TR_ACQ_EBIT">"c2380"</definedName>
    <definedName name="IQ_TR_ACQ_EBIT_EQ_INC">"c3611"</definedName>
    <definedName name="IQ_TR_ACQ_EBITDA">"c2381"</definedName>
    <definedName name="IQ_TR_ACQ_EBITDA_EQ_INC">"c3610"</definedName>
    <definedName name="IQ_TR_ACQ_FILING_CURRENCY">"c3033"</definedName>
    <definedName name="IQ_TR_ACQ_FILINGDATE">"c3607"</definedName>
    <definedName name="IQ_TR_ACQ_MCAP_1DAY">"c2345"</definedName>
    <definedName name="IQ_TR_ACQ_MIN_INT">"c2374"</definedName>
    <definedName name="IQ_TR_ACQ_NET_DEBT">"c2373"</definedName>
    <definedName name="IQ_TR_ACQ_NI">"c2378"</definedName>
    <definedName name="IQ_TR_ACQ_PERIODDATE">"c3606"</definedName>
    <definedName name="IQ_TR_ACQ_PRICEDATE_1D">"c2346"</definedName>
    <definedName name="IQ_TR_ACQ_RETURN">"c2349"</definedName>
    <definedName name="IQ_TR_ACQ_STOCKYEARHIGH_1D">"c2343"</definedName>
    <definedName name="IQ_TR_ACQ_STOCKYEARLOW_1D">"c2344"</definedName>
    <definedName name="IQ_TR_ACQ_TOTAL_ASSETS">"c2371"</definedName>
    <definedName name="IQ_TR_ACQ_TOTAL_COMMON_EQ">"c2377"</definedName>
    <definedName name="IQ_TR_ACQ_TOTAL_DEBT">"c2376"</definedName>
    <definedName name="IQ_TR_ACQ_TOTAL_PREF">"c2375"</definedName>
    <definedName name="IQ_TR_ACQ_TOTAL_REV">"c2382"</definedName>
    <definedName name="IQ_TR_ADJ_SIZE">"c3024"</definedName>
    <definedName name="IQ_TR_ANN_DATE">"c2395"</definedName>
    <definedName name="IQ_TR_ANN_DATE_BL">"c2394"</definedName>
    <definedName name="IQ_TR_BID_DATE">"c2357"</definedName>
    <definedName name="IQ_TR_BLUESKY_FEES">"c2277"</definedName>
    <definedName name="IQ_TR_BUY_ACC_ADVISORS">"c3048"</definedName>
    <definedName name="IQ_TR_BUY_FIN_ADVISORS">"c3045"</definedName>
    <definedName name="IQ_TR_BUY_LEG_ADVISORS">"c2387"</definedName>
    <definedName name="IQ_TR_BUYER_ID">"c2404"</definedName>
    <definedName name="IQ_TR_BUYERNAME">"c2401"</definedName>
    <definedName name="IQ_TR_CANCELLED_DATE">"c2284"</definedName>
    <definedName name="IQ_TR_CASH_CONSID_PCT">"c2296"</definedName>
    <definedName name="IQ_TR_CASH_ST_INVEST">"c3025"</definedName>
    <definedName name="IQ_TR_CHANGE_CONTROL">"c2365"</definedName>
    <definedName name="IQ_TR_CLOSED_DATE">"c2283"</definedName>
    <definedName name="IQ_TR_CO_NET_PROCEEDS">"c2268"</definedName>
    <definedName name="IQ_TR_CO_NET_PROCEEDS_PCT">"c2270"</definedName>
    <definedName name="IQ_TR_COMMENTS">"c2383"</definedName>
    <definedName name="IQ_TR_CURRENCY">"c3016"</definedName>
    <definedName name="IQ_TR_DEAL_ATTITUDE">"c2364"</definedName>
    <definedName name="IQ_TR_DEAL_CONDITIONS">"c2367"</definedName>
    <definedName name="IQ_TR_DEAL_RESOLUTION">"c2391"</definedName>
    <definedName name="IQ_TR_DEAL_RESPONSES">"c2366"</definedName>
    <definedName name="IQ_TR_DEBT_CONSID_PCT">"c2299"</definedName>
    <definedName name="IQ_TR_DEF_AGRMT_DATE">"c2285"</definedName>
    <definedName name="IQ_TR_DISCLOSED_FEES_EXP">"c2288"</definedName>
    <definedName name="IQ_TR_EARNOUTS">"c3023"</definedName>
    <definedName name="IQ_TR_EXPIRED_DATE">"c2412"</definedName>
    <definedName name="IQ_TR_GROSS_OFFERING_AMT">"c2262"</definedName>
    <definedName name="IQ_TR_HYBRID_CONSID_PCT">"c2300"</definedName>
    <definedName name="IQ_TR_IMPLIED_EQ">"c3018"</definedName>
    <definedName name="IQ_TR_IMPLIED_EQ_BV">"c3019"</definedName>
    <definedName name="IQ_TR_IMPLIED_EQ_NI_LTM">"c3020"</definedName>
    <definedName name="IQ_TR_IMPLIED_EV">"c2301"</definedName>
    <definedName name="IQ_TR_IMPLIED_EV_BV">"c2306"</definedName>
    <definedName name="IQ_TR_IMPLIED_EV_EBIT">"c2302"</definedName>
    <definedName name="IQ_TR_IMPLIED_EV_EBITDA">"c2303"</definedName>
    <definedName name="IQ_TR_IMPLIED_EV_NI_LTM">"c2307"</definedName>
    <definedName name="IQ_TR_IMPLIED_EV_REV">"c2304"</definedName>
    <definedName name="IQ_TR_INIT_FILED_DATE">"c3495"</definedName>
    <definedName name="IQ_TR_LOI_DATE">"c2282"</definedName>
    <definedName name="IQ_TR_MAJ_MIN_STAKE">"c2389"</definedName>
    <definedName name="IQ_TR_NEGOTIATED_BUYBACK_PRICE">"c2414"</definedName>
    <definedName name="IQ_TR_NET_ASSUM_LIABILITIES">"c2308"</definedName>
    <definedName name="IQ_TR_NET_PROCEEDS">"c2267"</definedName>
    <definedName name="IQ_TR_OFFER_DATE">"c2265"</definedName>
    <definedName name="IQ_TR_OFFER_DATE_MA">"c3035"</definedName>
    <definedName name="IQ_TR_OFFER_PER_SHARE">"c3017"</definedName>
    <definedName name="IQ_TR_OPTIONS_CONSID_PCT">"c2311"</definedName>
    <definedName name="IQ_TR_OTHER_CONSID">"c3022"</definedName>
    <definedName name="IQ_TR_PCT_SOUGHT">"c2309"</definedName>
    <definedName name="IQ_TR_PFEATURES">"c2384"</definedName>
    <definedName name="IQ_TR_PIPE_CONV_PRICE_SHARE">"c2292"</definedName>
    <definedName name="IQ_TR_PIPE_CPN_PCT">"c2291"</definedName>
    <definedName name="IQ_TR_PIPE_NUMBER_SHARES">"c2293"</definedName>
    <definedName name="IQ_TR_PIPE_PPS">"c2290"</definedName>
    <definedName name="IQ_TR_POSTMONEY_VAL">"c2286"</definedName>
    <definedName name="IQ_TR_PREDEAL_SITUATION">"c2390"</definedName>
    <definedName name="IQ_TR_PREF_CONSID_PCT">"c2310"</definedName>
    <definedName name="IQ_TR_PREMONEY_VAL">"c2287"</definedName>
    <definedName name="IQ_TR_PRINTING_FEES">"c2276"</definedName>
    <definedName name="IQ_TR_PT_MONETARY_VALUES">"c2415"</definedName>
    <definedName name="IQ_TR_PT_NUMBER_SHARES">"c2417"</definedName>
    <definedName name="IQ_TR_PT_PCT_SHARES">"c2416"</definedName>
    <definedName name="IQ_TR_RATING_FEES">"c2275"</definedName>
    <definedName name="IQ_TR_REG_EFFECT_DATE">"c2264"</definedName>
    <definedName name="IQ_TR_REG_FILED_DATE">"c2263"</definedName>
    <definedName name="IQ_TR_RENEWAL_BUYBACK">"c2413"</definedName>
    <definedName name="IQ_TR_ROUND_NUMBER">"c2295"</definedName>
    <definedName name="IQ_TR_SEC_FEES">"c2274"</definedName>
    <definedName name="IQ_TR_SECURITY_TYPE_REG">"c2279"</definedName>
    <definedName name="IQ_TR_SELL_ACC_ADVISORS">"c3049"</definedName>
    <definedName name="IQ_TR_SELL_FIN_ADVISORS">"c3046"</definedName>
    <definedName name="IQ_TR_SELL_LEG_ADVISORS">"c2388"</definedName>
    <definedName name="IQ_TR_SELLER_ID">"c2406"</definedName>
    <definedName name="IQ_TR_SELLERNAME">"c2402"</definedName>
    <definedName name="IQ_TR_SFEATURES">"c2385"</definedName>
    <definedName name="IQ_TR_SH_NET_PROCEEDS">"c2269"</definedName>
    <definedName name="IQ_TR_SH_NET_PROCEEDS_PCT">"c2271"</definedName>
    <definedName name="IQ_TR_SPECIAL_COMMITTEE">"c2362"</definedName>
    <definedName name="IQ_TR_STATUS">"c2399"</definedName>
    <definedName name="IQ_TR_STOCK_CONSID_PCT">"c2312"</definedName>
    <definedName name="IQ_TR_SUSPENDED_DATE">"c2407"</definedName>
    <definedName name="IQ_TR_TARGET_52WKHI_PCT">"c2351"</definedName>
    <definedName name="IQ_TR_TARGET_52WKLOW_PCT">"c2350"</definedName>
    <definedName name="IQ_TR_TARGET_ACC_ADVISORS">"c3047"</definedName>
    <definedName name="IQ_TR_TARGET_CASH_ST_INVEST">"c2327"</definedName>
    <definedName name="IQ_TR_TARGET_CLOSEPRICE_1D">"c2352"</definedName>
    <definedName name="IQ_TR_TARGET_CLOSEPRICE_1M">"c2354"</definedName>
    <definedName name="IQ_TR_TARGET_CLOSEPRICE_1W">"c2353"</definedName>
    <definedName name="IQ_TR_TARGET_DILUT_EPS_EXCL">"c2324"</definedName>
    <definedName name="IQ_TR_TARGET_EARNING_CO">"c2332"</definedName>
    <definedName name="IQ_TR_TARGET_EBIT">"c2333"</definedName>
    <definedName name="IQ_TR_TARGET_EBIT_EQ_INC">"c3609"</definedName>
    <definedName name="IQ_TR_TARGET_EBITDA">"c2334"</definedName>
    <definedName name="IQ_TR_TARGET_EBITDA_EQ_INC">"c3608"</definedName>
    <definedName name="IQ_TR_TARGET_FILING_CURRENCY">"c3034"</definedName>
    <definedName name="IQ_TR_TARGET_FILINGDATE">"c3605"</definedName>
    <definedName name="IQ_TR_TARGET_FIN_ADVISORS">"c3044"</definedName>
    <definedName name="IQ_TR_TARGET_ID">"c2405"</definedName>
    <definedName name="IQ_TR_TARGET_LEG_ADVISORS">"c2386"</definedName>
    <definedName name="IQ_TR_TARGET_MARKETCAP">"c2342"</definedName>
    <definedName name="IQ_TR_TARGET_MIN_INT">"c2328"</definedName>
    <definedName name="IQ_TR_TARGET_NET_DEBT">"c2326"</definedName>
    <definedName name="IQ_TR_TARGET_NI">"c2331"</definedName>
    <definedName name="IQ_TR_TARGET_PERIODDATE">"c3604"</definedName>
    <definedName name="IQ_TR_TARGET_PRICEDATE_1D">"c2341"</definedName>
    <definedName name="IQ_TR_TARGET_RETURN">"c2355"</definedName>
    <definedName name="IQ_TR_TARGET_SEC_DETAIL">"c3021"</definedName>
    <definedName name="IQ_TR_TARGET_SEC_TI_ID">"c2368"</definedName>
    <definedName name="IQ_TR_TARGET_SEC_TYPE">"c2369"</definedName>
    <definedName name="IQ_TR_TARGET_SPD">"c2313"</definedName>
    <definedName name="IQ_TR_TARGET_SPD_PCT">"c2314"</definedName>
    <definedName name="IQ_TR_TARGET_STOCKPREMIUM_1D">"c2336"</definedName>
    <definedName name="IQ_TR_TARGET_STOCKPREMIUM_1M">"c2337"</definedName>
    <definedName name="IQ_TR_TARGET_STOCKPREMIUM_1W">"c2338"</definedName>
    <definedName name="IQ_TR_TARGET_STOCKYEARHIGH_1D">"c2339"</definedName>
    <definedName name="IQ_TR_TARGET_STOCKYEARLOW_1D">"c2340"</definedName>
    <definedName name="IQ_TR_TARGET_TOTAL_ASSETS">"c2325"</definedName>
    <definedName name="IQ_TR_TARGET_TOTAL_COMMON_EQ">"c2421"</definedName>
    <definedName name="IQ_TR_TARGET_TOTAL_DEBT">"c2330"</definedName>
    <definedName name="IQ_TR_TARGET_TOTAL_PREF">"c2329"</definedName>
    <definedName name="IQ_TR_TARGET_TOTAL_REV">"c2335"</definedName>
    <definedName name="IQ_TR_TARGETNAME">"c2403"</definedName>
    <definedName name="IQ_TR_TERM_FEE">"c2298"</definedName>
    <definedName name="IQ_TR_TERM_FEE_PCT">"c2297"</definedName>
    <definedName name="IQ_TR_TODATE">"c3036"</definedName>
    <definedName name="IQ_TR_TODATE_MONETARY_VALUE">"c2418"</definedName>
    <definedName name="IQ_TR_TODATE_NUMBER_SHARES">"c2420"</definedName>
    <definedName name="IQ_TR_TODATE_PCT_SHARES">"c2419"</definedName>
    <definedName name="IQ_TR_TOTAL_ACCT_FEES">"c2273"</definedName>
    <definedName name="IQ_TR_TOTAL_CASH">"c2315"</definedName>
    <definedName name="IQ_TR_TOTAL_CONSID_SH">"c2316"</definedName>
    <definedName name="IQ_TR_TOTAL_DEBT">"c2317"</definedName>
    <definedName name="IQ_TR_TOTAL_GROSS_TV">"c2318"</definedName>
    <definedName name="IQ_TR_TOTAL_HYBRID">"c2319"</definedName>
    <definedName name="IQ_TR_TOTAL_LEGAL_FEES">"c2272"</definedName>
    <definedName name="IQ_TR_TOTAL_NET_TV">"c2320"</definedName>
    <definedName name="IQ_TR_TOTAL_NEWMONEY">"c2289"</definedName>
    <definedName name="IQ_TR_TOTAL_OPTIONS">"c2322"</definedName>
    <definedName name="IQ_TR_TOTAL_OPTIONS_BUYER">"c3026"</definedName>
    <definedName name="IQ_TR_TOTAL_PREFERRED">"c2321"</definedName>
    <definedName name="IQ_TR_TOTAL_REG_AMT">"c2261"</definedName>
    <definedName name="IQ_TR_TOTAL_STOCK">"c2323"</definedName>
    <definedName name="IQ_TR_TOTAL_TAKEDOWNS">"c2278"</definedName>
    <definedName name="IQ_TR_TOTAL_UW_COMP">"c2280"</definedName>
    <definedName name="IQ_TR_TOTALVALUE">"c2400"</definedName>
    <definedName name="IQ_TR_TRANSACTION_TYPE">"c2398"</definedName>
    <definedName name="IQ_TR_WITHDRAWN_DTE">"c2266"</definedName>
    <definedName name="IQ_TRADE_AR">"c1345"</definedName>
    <definedName name="IQ_TRADE_PRINCIPAL">"c1309"</definedName>
    <definedName name="IQ_TRADING_ACCOUNT_GAINS_FEES_FDIC">"c6573"</definedName>
    <definedName name="IQ_TRADING_ASSETS">"c1310"</definedName>
    <definedName name="IQ_TRADING_ASSETS_FDIC">"c6328"</definedName>
    <definedName name="IQ_TRADING_CURRENCY">"c2212"</definedName>
    <definedName name="IQ_TRADING_LIABILITIES_FDIC">"c6344"</definedName>
    <definedName name="IQ_TRANSACTION_ACCOUNTS_FDIC">"c6544"</definedName>
    <definedName name="IQ_TREASURY">"c1311"</definedName>
    <definedName name="IQ_TREASURY_OTHER_EQUITY">"c1312"</definedName>
    <definedName name="IQ_TREASURY_OTHER_EQUITY_BNK">"c1313"</definedName>
    <definedName name="IQ_TREASURY_OTHER_EQUITY_BR">"c1314"</definedName>
    <definedName name="IQ_TREASURY_OTHER_EQUITY_FIN">"c1315"</definedName>
    <definedName name="IQ_TREASURY_OTHER_EQUITY_INS">"c1316"</definedName>
    <definedName name="IQ_TREASURY_OTHER_EQUITY_RE">"c6276"</definedName>
    <definedName name="IQ_TREASURY_OTHER_EQUITY_REIT">"c1317"</definedName>
    <definedName name="IQ_TREASURY_OTHER_EQUITY_UTI">"c1318"</definedName>
    <definedName name="IQ_TREASURY_STOCK">"c1438"</definedName>
    <definedName name="IQ_TREASURY_STOCK_TRANSACTIONS_FDIC">"c6501"</definedName>
    <definedName name="IQ_TRUST_INC">"c1319"</definedName>
    <definedName name="IQ_TRUST_PREF">"c1320"</definedName>
    <definedName name="IQ_TRUST_PREFERRED">"c3029"</definedName>
    <definedName name="IQ_TRUST_PREFERRED_PCT">"c3030"</definedName>
    <definedName name="IQ_TWELVE_MONTHS_FIXED_AND_FLOATING_FDIC">"c6420"</definedName>
    <definedName name="IQ_TWELVE_MONTHS_MORTGAGE_PASS_THROUGHS_FDIC">"c6412"</definedName>
    <definedName name="IQ_UFCF_10YR_ANN_CAGR">"c6179"</definedName>
    <definedName name="IQ_UFCF_10YR_ANN_GROWTH">"c1948"</definedName>
    <definedName name="IQ_UFCF_1YR_ANN_GROWTH">"c1943"</definedName>
    <definedName name="IQ_UFCF_2YR_ANN_CAGR">"c6175"</definedName>
    <definedName name="IQ_UFCF_2YR_ANN_GROWTH">"c1944"</definedName>
    <definedName name="IQ_UFCF_3YR_ANN_CAGR">"c6176"</definedName>
    <definedName name="IQ_UFCF_3YR_ANN_GROWTH">"c1945"</definedName>
    <definedName name="IQ_UFCF_5YR_ANN_CAGR">"c6177"</definedName>
    <definedName name="IQ_UFCF_5YR_ANN_GROWTH">"c1946"</definedName>
    <definedName name="IQ_UFCF_7YR_ANN_CAGR">"c6178"</definedName>
    <definedName name="IQ_UFCF_7YR_ANN_GROWTH">"c1947"</definedName>
    <definedName name="IQ_UFCF_MARGIN">"c1962"</definedName>
    <definedName name="IQ_ULT_PARENT">"c3037"</definedName>
    <definedName name="IQ_ULT_PARENT_CIQID">"c3039"</definedName>
    <definedName name="IQ_ULT_PARENT_TICKER">"c3038"</definedName>
    <definedName name="IQ_UNAMORT_DISC">"c2513"</definedName>
    <definedName name="IQ_UNAMORT_DISC_PCT">"c2514"</definedName>
    <definedName name="IQ_UNAMORT_PREMIUM">"c2511"</definedName>
    <definedName name="IQ_UNAMORT_PREMIUM_PCT">"c2512"</definedName>
    <definedName name="IQ_UNDIVIDED_PROFITS_FDIC">"c6352"</definedName>
    <definedName name="IQ_UNDRAWN_CP">"c2518"</definedName>
    <definedName name="IQ_UNDRAWN_CREDIT">"c3032"</definedName>
    <definedName name="IQ_UNDRAWN_RC">"c2517"</definedName>
    <definedName name="IQ_UNDRAWN_TL">"c2519"</definedName>
    <definedName name="IQ_UNEARN_PREMIUM">"c1321"</definedName>
    <definedName name="IQ_UNEARN_REV_CURRENT">"c1322"</definedName>
    <definedName name="IQ_UNEARN_REV_CURRENT_BNK">"c1323"</definedName>
    <definedName name="IQ_UNEARN_REV_CURRENT_BR">"c1324"</definedName>
    <definedName name="IQ_UNEARN_REV_CURRENT_FIN">"c1325"</definedName>
    <definedName name="IQ_UNEARN_REV_CURRENT_INS">"c1326"</definedName>
    <definedName name="IQ_UNEARN_REV_CURRENT_RE">"c6277"</definedName>
    <definedName name="IQ_UNEARN_REV_CURRENT_REIT">"c1327"</definedName>
    <definedName name="IQ_UNEARN_REV_CURRENT_UTI">"c1328"</definedName>
    <definedName name="IQ_UNEARN_REV_LT">"c1329"</definedName>
    <definedName name="IQ_UNEARNED_INCOME_FDIC">"c6324"</definedName>
    <definedName name="IQ_UNEARNED_INCOME_FOREIGN_FDIC">"c6385"</definedName>
    <definedName name="IQ_UNLEVERED_FCF">"c1908"</definedName>
    <definedName name="IQ_UNPAID_CLAIMS">"c1330"</definedName>
    <definedName name="IQ_UNPROFITABLE_INSTITUTIONS_FDIC">"c6722"</definedName>
    <definedName name="IQ_UNREALIZED_GAIN">"c1619"</definedName>
    <definedName name="IQ_UNSECURED_DEBT">"c2548"</definedName>
    <definedName name="IQ_UNSECURED_DEBT_PCT">"c2549"</definedName>
    <definedName name="IQ_UNUSED_LOAN_COMMITMENTS_FDIC">"c6368"</definedName>
    <definedName name="IQ_UNUSUAL_EXP">"c1456"</definedName>
    <definedName name="IQ_US_BRANCHES_FOREIGN_BANK_LOANS_FDIC">"c6435"</definedName>
    <definedName name="IQ_US_BRANCHES_FOREIGN_BANKS_FDIC">"c6390"</definedName>
    <definedName name="IQ_US_GAAP">"c1331"</definedName>
    <definedName name="IQ_US_GAAP_BASIC_EPS_EXCL">"c2984"</definedName>
    <definedName name="IQ_US_GAAP_BASIC_EPS_INCL">"c2982"</definedName>
    <definedName name="IQ_US_GAAP_BASIC_WEIGHT">"c2980"</definedName>
    <definedName name="IQ_US_GAAP_CA_ADJ">"c2925"</definedName>
    <definedName name="IQ_US_GAAP_CASH_FINAN">"c2945"</definedName>
    <definedName name="IQ_US_GAAP_CASH_FINAN_ADJ">"c2941"</definedName>
    <definedName name="IQ_US_GAAP_CASH_INVEST">"c2944"</definedName>
    <definedName name="IQ_US_GAAP_CASH_INVEST_ADJ">"c2940"</definedName>
    <definedName name="IQ_US_GAAP_CASH_OPER">"c2943"</definedName>
    <definedName name="IQ_US_GAAP_CASH_OPER_ADJ">"c2939"</definedName>
    <definedName name="IQ_US_GAAP_CL_ADJ">"c2927"</definedName>
    <definedName name="IQ_US_GAAP_COST_REV_ADJ">"c2951"</definedName>
    <definedName name="IQ_US_GAAP_DILUT_EPS_EXCL">"c2985"</definedName>
    <definedName name="IQ_US_GAAP_DILUT_EPS_INCL">"c2983"</definedName>
    <definedName name="IQ_US_GAAP_DILUT_NI">"c2979"</definedName>
    <definedName name="IQ_US_GAAP_DILUT_WEIGHT">"c2981"</definedName>
    <definedName name="IQ_US_GAAP_DO_ADJ">"c2959"</definedName>
    <definedName name="IQ_US_GAAP_EXTRA_ACC_ITEMS_ADJ">"c2958"</definedName>
    <definedName name="IQ_US_GAAP_INC_TAX_ADJ">"c2961"</definedName>
    <definedName name="IQ_US_GAAP_INTEREST_EXP_ADJ">"c2957"</definedName>
    <definedName name="IQ_US_GAAP_LIAB_LT_ADJ">"c2928"</definedName>
    <definedName name="IQ_US_GAAP_LIAB_TOTAL_LIAB">"c2933"</definedName>
    <definedName name="IQ_US_GAAP_MINORITY_INTEREST_IS_ADJ">"c2960"</definedName>
    <definedName name="IQ_US_GAAP_NCA_ADJ">"c2926"</definedName>
    <definedName name="IQ_US_GAAP_NET_CHANGE">"c2946"</definedName>
    <definedName name="IQ_US_GAAP_NET_CHANGE_ADJ">"c2942"</definedName>
    <definedName name="IQ_US_GAAP_NI">"c2976"</definedName>
    <definedName name="IQ_US_GAAP_NI_ADJ">"c2963"</definedName>
    <definedName name="IQ_US_GAAP_NI_AVAIL_INCL">"c2978"</definedName>
    <definedName name="IQ_US_GAAP_OTHER_ADJ_ADJ">"c2962"</definedName>
    <definedName name="IQ_US_GAAP_OTHER_NON_OPER_ADJ">"c2955"</definedName>
    <definedName name="IQ_US_GAAP_OTHER_OPER_ADJ">"c2954"</definedName>
    <definedName name="IQ_US_GAAP_RD_ADJ">"c2953"</definedName>
    <definedName name="IQ_US_GAAP_SGA_ADJ">"c2952"</definedName>
    <definedName name="IQ_US_GAAP_TOTAL_ASSETS">"c2931"</definedName>
    <definedName name="IQ_US_GAAP_TOTAL_EQUITY">"c2934"</definedName>
    <definedName name="IQ_US_GAAP_TOTAL_EQUITY_ADJ">"c2929"</definedName>
    <definedName name="IQ_US_GAAP_TOTAL_REV_ADJ">"c2950"</definedName>
    <definedName name="IQ_US_GAAP_TOTAL_UNUSUAL_ADJ">"c2956"</definedName>
    <definedName name="IQ_US_GOV_AGENCIES_FDIC">"c6395"</definedName>
    <definedName name="IQ_US_GOV_DEPOSITS_FDIC">"c6483"</definedName>
    <definedName name="IQ_US_GOV_ENTERPRISES_FDIC">"c6396"</definedName>
    <definedName name="IQ_US_GOV_NONCURRENT_LOANS_TOTAL_NONCURRENT_FDIC">"c6779"</definedName>
    <definedName name="IQ_US_GOV_NONTRANSACTION_ACCOUNTS_FDIC">"c6546"</definedName>
    <definedName name="IQ_US_GOV_OBLIGATIONS_FDIC">"c6299"</definedName>
    <definedName name="IQ_US_GOV_SECURITIES_FDIC">"c6297"</definedName>
    <definedName name="IQ_US_GOV_TOTAL_DEPOSITS_FDIC">"c6472"</definedName>
    <definedName name="IQ_US_GOV_TRANSACTION_ACCOUNTS_FDIC">"c6538"</definedName>
    <definedName name="IQ_US_TREASURY_SECURITIES_FDIC">"c6298"</definedName>
    <definedName name="IQ_UTIL_PPE_NET">"c1620"</definedName>
    <definedName name="IQ_UTIL_REV">"c2091"</definedName>
    <definedName name="IQ_UV_PENSION_LIAB">"c1332"</definedName>
    <definedName name="IQ_VALUATION_ALLOWANCES_FDIC">"c6400"</definedName>
    <definedName name="IQ_VALUE_TRADED">"c1519"</definedName>
    <definedName name="IQ_VALUE_TRADED_LAST_3MTH">"c1530"</definedName>
    <definedName name="IQ_VALUE_TRADED_LAST_6MTH">"c1531"</definedName>
    <definedName name="IQ_VALUE_TRADED_LAST_MTH">"c1529"</definedName>
    <definedName name="IQ_VALUE_TRADED_LAST_WK">"c1528"</definedName>
    <definedName name="IQ_VALUE_TRADED_LAST_YR">"c1532"</definedName>
    <definedName name="IQ_VC_REVENUE_FDIC">"c6667"</definedName>
    <definedName name="IQ_VOL_LAST_3MTH">"c1525"</definedName>
    <definedName name="IQ_VOL_LAST_6MTH">"c1526"</definedName>
    <definedName name="IQ_VOL_LAST_MTH">"c1524"</definedName>
    <definedName name="IQ_VOL_LAST_WK">"c1523"</definedName>
    <definedName name="IQ_VOL_LAST_YR">"c1527"</definedName>
    <definedName name="IQ_VOLATILE_LIABILITIES_FDIC">"c6364"</definedName>
    <definedName name="IQ_VOLUME">"c1333"</definedName>
    <definedName name="IQ_WARRANTS_BEG_OS">"c2698"</definedName>
    <definedName name="IQ_WARRANTS_CANCELLED">"c2701"</definedName>
    <definedName name="IQ_WARRANTS_END_OS">"c2702"</definedName>
    <definedName name="IQ_WARRANTS_EXERCISED">"c2700"</definedName>
    <definedName name="IQ_WARRANTS_ISSUED">"c2699"</definedName>
    <definedName name="IQ_WARRANTS_STRIKE_PRICE_ISSUED">"c2704"</definedName>
    <definedName name="IQ_WARRANTS_STRIKE_PRICE_OS">"c2703"</definedName>
    <definedName name="IQ_WEEK">50000</definedName>
    <definedName name="IQ_WEIGHTED_AVG_PRICE">"c1334"</definedName>
    <definedName name="IQ_WIP_INV">"c1335"</definedName>
    <definedName name="IQ_WORKING_CAP">"c3494"</definedName>
    <definedName name="IQ_WORKMEN_WRITTEN">"c1336"</definedName>
    <definedName name="IQ_WRITTEN_OPTION_CONTRACTS_FDIC">"c6509"</definedName>
    <definedName name="IQ_WRITTEN_OPTION_CONTRACTS_FX_RISK_FDIC">"c6514"</definedName>
    <definedName name="IQ_WRITTEN_OPTION_CONTRACTS_NON_FX_IR_FDIC">"c6519"</definedName>
    <definedName name="IQ_XDIV_DATE">"c2104"</definedName>
    <definedName name="IQ_YEAR_FOUNDED">"c6793"</definedName>
    <definedName name="IQ_YEARHIGH">"c1337"</definedName>
    <definedName name="IQ_YEARHIGH_DATE">"c2250"</definedName>
    <definedName name="IQ_YEARLOW">"c1338"</definedName>
    <definedName name="IQ_YEARLOW_DATE">"c2251"</definedName>
    <definedName name="IQ_YTD">3000</definedName>
    <definedName name="IQ_YTDMONTH">130000</definedName>
    <definedName name="IQ_YTW">"c2163"</definedName>
    <definedName name="IQ_YTW_DATE">"c2164"</definedName>
    <definedName name="IQ_YTW_DATE_TYPE">"c2165"</definedName>
    <definedName name="IQ_Z_SCORE">"c1339"</definedName>
    <definedName name="IQB_BOOKMARK_COUNT">3</definedName>
    <definedName name="iQShowHideColumns">"iQShowAll"</definedName>
    <definedName name="IRI_WorkspaceId">"870f329c6e294d71a64090c9d4968529"</definedName>
    <definedName name="IsColHidden">FALSE</definedName>
    <definedName name="IsLTMColHidden">FALSE</definedName>
    <definedName name="ITAL">#REF!</definedName>
    <definedName name="ITALY">#REF!</definedName>
    <definedName name="itdep">[18]fa!$A$1:$L$59</definedName>
    <definedName name="JanSun1">DATE(CalendarYear,1,1)-WEEKDAY(DATE(CalendarYear,1,1))+1</definedName>
    <definedName name="JAPA">#REF!</definedName>
    <definedName name="JAPAN">#REF!</definedName>
    <definedName name="JayaPrathiban">#REF!</definedName>
    <definedName name="jj">{0,0,0,0;0,0,0,0;0,0,0,0;0,0,0,0;0,0,0,0;0,0,0,0;0,0,0,0;0,0,0,0;0,0,0,0;0,0,0,0;0,0,0,0}</definedName>
    <definedName name="JulSun1">DATE(CalendarYear,7,1)-WEEKDAY(DATE(CalendarYear,7,1))+1</definedName>
    <definedName name="Junk">{"'Blank'!$A$1:$A$2"}</definedName>
    <definedName name="JunSun1">DATE(CalendarYear,6,1)-WEEKDAY(DATE(CalendarYear,6,1))+1</definedName>
    <definedName name="LANprod1">#REF!</definedName>
    <definedName name="LANprod2">#REF!</definedName>
    <definedName name="Last_Row">IF(Values_Entered,Header_Row+Number_of_Payments,Header_Row)</definedName>
    <definedName name="LCTPYAdj">#REF!</definedName>
    <definedName name="LE_Active">'[19]Set-up'!$C$10</definedName>
    <definedName name="Leasehold">#REF!</definedName>
    <definedName name="limcount">2</definedName>
    <definedName name="ListOffset">1</definedName>
    <definedName name="Loan_Not_Paid">IF(Payment_Number&lt;=Number_of_Payments,1,0)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P">#REF!</definedName>
    <definedName name="Magix_Sales___JFM_2001">#REF!</definedName>
    <definedName name="MAINCOMP">#REF!</definedName>
    <definedName name="ManPYCapAdj">#REF!</definedName>
    <definedName name="MarSun1">DATE(CalendarYear,3,1)-WEEKDAY(DATE(CalendarYear,3,1))+1</definedName>
    <definedName name="matcomp">#REF!</definedName>
    <definedName name="MathreyiKeshvan">#REF!</definedName>
    <definedName name="matnotes">#REF!</definedName>
    <definedName name="MaySun1">DATE(CalendarYear,5,1)-WEEKDAY(DATE(CalendarYear,5,1))+1</definedName>
    <definedName name="MBTEMP">{"'Blank'!$A$1:$A$2"}</definedName>
    <definedName name="million">1000000</definedName>
    <definedName name="Monthly_Payment">-PMT(Interest_Rate/12,Number_of_Payments,Loan_Amount)</definedName>
    <definedName name="Motar_Car">#REF!</definedName>
    <definedName name="MyBegOfYEar">IF(BegOfYear5253week&lt;&gt;"",BegOfYear5253week,IF(TaxYearEnd="","",TaxYearEnd-364))</definedName>
    <definedName name="MyBookIncome">IF(BookIncome = "","",BookIncome)</definedName>
    <definedName name="MyFEIN">IF(FEIN="","",FEIN)</definedName>
    <definedName name="MyLastYear">IF(TaxYearEnd="","",TaxYearEnd-366)</definedName>
    <definedName name="MyName">IF(TheName = "","",TheName)</definedName>
    <definedName name="MyName1">IF(TheName = "","",TheName)</definedName>
    <definedName name="MyNextYear">IF(TaxYearEnd="","",TaxYearEnd+365)</definedName>
    <definedName name="MyTaxYear">IF(TaxYearEnd="","",TaxYearEnd)</definedName>
    <definedName name="NA_Selector">'[10]Caption List'!$CA$13:$CA$14</definedName>
    <definedName name="NAME">#REF!</definedName>
    <definedName name="Net_Income">#REF!</definedName>
    <definedName name="Net_Sales">#REF!</definedName>
    <definedName name="NEUC">#REF!</definedName>
    <definedName name="NEUCHATEL">#REF!</definedName>
    <definedName name="New">#REF!</definedName>
    <definedName name="newack2">#REF!</definedName>
    <definedName name="NOTE_1">#REF!</definedName>
    <definedName name="Note_10_12">#REF!</definedName>
    <definedName name="Note_7_9">#REF!</definedName>
    <definedName name="Notes_1_6">#REF!</definedName>
    <definedName name="NOTES_MAINCOMP">#REF!</definedName>
    <definedName name="NovSun1">DATE(CalendarYear,11,1)-WEEKDAY(DATE(CalendarYear,11,1))+1</definedName>
    <definedName name="NsNbPYCapAdj">#REF!</definedName>
    <definedName name="NtsASD">"V2003-08-31"</definedName>
    <definedName name="NUMBER">#REF!</definedName>
    <definedName name="Number_of_Payments">MATCH(0.01,End_Bal,-1)+1</definedName>
    <definedName name="nvd">"V2005-06-30"</definedName>
    <definedName name="NvsAnswerCol">"'[DR_9907_9963_BS_MTHLY 2007-02-28.xls]JRNLLAYOUT'!$A$4:$A$10"</definedName>
    <definedName name="NvsASD">"V2007-02-28"</definedName>
    <definedName name="NvsAutoDrillOk">"VN"</definedName>
    <definedName name="NvsDateToNumber">"Y"</definedName>
    <definedName name="NvsElapsedTime">0.0000115740767796524</definedName>
    <definedName name="NvsEndTime">39148.6991435185</definedName>
    <definedName name="NvsInstanceHook">Instance_Hook</definedName>
    <definedName name="NvsInstLang">"VENG"</definedName>
    <definedName name="NvsInstSpec">"%,LACTUAL,SBAL02,R,FACCOUNT,V26111230"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"%,X,RZF..R00B,CZF..C00B"</definedName>
    <definedName name="NvsPanelBusUnit">"VSUS00"</definedName>
    <definedName name="NvsPanelEffdt">"V2000-01-01"</definedName>
    <definedName name="NvsPanelSetid">"VSHARE"</definedName>
    <definedName name="NvsParentRef">"'[BS_MTHLY 2007-02-28.xls]Sheet1'!$E$73"</definedName>
    <definedName name="NvsReqBU">"VSUS00"</definedName>
    <definedName name="NvsReqBUOnly">"VY"</definedName>
    <definedName name="NvsStyleNme">"Classical.xls"</definedName>
    <definedName name="NvsTransLed">"VN"</definedName>
    <definedName name="NvsTree.AAS_DEPTMGTRPT">"YNNYN"</definedName>
    <definedName name="NvsTree.AFS_BU_GLOWNER">"YNNYN"</definedName>
    <definedName name="NvsTree.AMP_AASB1023">"YNNYN"</definedName>
    <definedName name="NvsTree.AMP_ABSSMGTRPT">"YNNYN"</definedName>
    <definedName name="NvsTree.AMP_AMPAMACCROLLUP">"YNNYN"</definedName>
    <definedName name="NvsTree.AMP_AMPBADBACCTROL">"YNNYN"</definedName>
    <definedName name="NvsTree.AMP_AMPBCONSOLACCT">"YNNYN"</definedName>
    <definedName name="NvsTree.AMP_AMPBMGTACCTROL">"YNNYN"</definedName>
    <definedName name="NvsTree.AMP_AMPGACCTROLLUP">"YNNYN"</definedName>
    <definedName name="NvsTree.AMP_AMPGI01_ACCT">"YNNYN"</definedName>
    <definedName name="NvsTree.AMP_AMPGI02_DEPT">"YNNYN"</definedName>
    <definedName name="NvsTree.AMP_BANK_NZ">"YNNYN"</definedName>
    <definedName name="NvsTree.AMP_COBALT">"YNNYN"</definedName>
    <definedName name="NvsTree.AMP_DISTCHNAMPAM">"YNNYN"</definedName>
    <definedName name="NvsTree.AMP_GST_ALLOCATION">"YNNYN"</definedName>
    <definedName name="NvsTree.AMP_GST_EXP_STATUS">"YNNYN"</definedName>
    <definedName name="NvsTree.AMP_NZ_ACCTROLLUP">"YNNYN"</definedName>
    <definedName name="NvsTree.AMP_NZ_DEPTROLLUP">"YNNYN"</definedName>
    <definedName name="NvsTree.AMP_NZ_FSDLACCTRUP">"YNNYN"</definedName>
    <definedName name="NvsTree.AMP_NZMGT_CONSOL">"YNNYN"</definedName>
    <definedName name="NvsTree.AMP_NZMGT_REPORT">"YNNYN"</definedName>
    <definedName name="NvsTree.AMP_STAT_FUNDS">"YNNYN"</definedName>
    <definedName name="NvsTree.AMP_TIME_PERIOD">"YNNYN"</definedName>
    <definedName name="NvsTree.AMPG_NZ_STAT_PROD">"YNNYN"</definedName>
    <definedName name="NvsTree.AMPG_PROD_OWNER">"YNNYN"</definedName>
    <definedName name="NvsTree.BAD_AMPADBACCTROL">"YNNYN"</definedName>
    <definedName name="NvsTree.BAD_AMPBCONSOLACCT">"YNNYN"</definedName>
    <definedName name="NvsTree.BAD_AMPBMGTACCTROL">"YNNYN"</definedName>
    <definedName name="NvsTree.BU_CCY">"YNNYN"</definedName>
    <definedName name="NvsTree.CLNT_AAS_BU_MGT">"YNNYN"</definedName>
    <definedName name="NvsTree.CLNT_ACCOUNTROLLUP">"YNNYN"</definedName>
    <definedName name="NvsTree.CLNT_ACCTCLASSIFY1">"YNNYN"</definedName>
    <definedName name="NvsTree.CLNT_PRODUCTINVEST">"YNNYN"</definedName>
    <definedName name="NvsTree.CLNT_SERPROVIDERS">"YNNYN"</definedName>
    <definedName name="NvsTree.CLNT_STATACTROLLUP">"YNNYN"</definedName>
    <definedName name="NvsTree.COMBEDIT_TRUST_PDT">"YNNYN"</definedName>
    <definedName name="NvsTree.COMBO_AMPAM_DEPT">"YNNYN"</definedName>
    <definedName name="NvsTree.COMBO_AMPAM_PDT">"YNNYN"</definedName>
    <definedName name="NvsTree.COMBO_AMPLIFE_ACC">"YNNYN"</definedName>
    <definedName name="NvsTree.COMBO_AMPLIFE_DEPT">"YNNYN"</definedName>
    <definedName name="NvsTree.COMBO_AMPLIFE_PDT">"YNNYN"</definedName>
    <definedName name="NvsTree.COMBO_AMPPIL_CORP">"YNNYN"</definedName>
    <definedName name="NvsTree.COMBO_CONTRL_ENTY">"YNNYN"</definedName>
    <definedName name="NvsTree.COMBO_CONTRL_ENTY2">"YNNYN"</definedName>
    <definedName name="NvsTree.COMBO_HILLROSS_ACC">"YNNYN"</definedName>
    <definedName name="NvsTree.COMBO_LIFE_ACCTS">"YNNYN"</definedName>
    <definedName name="NvsTree.COMBO_LIFE_DEPT">"YNNYN"</definedName>
    <definedName name="NvsTree.COMBO_LIFE_ROLLUP">"YNNYN"</definedName>
    <definedName name="NvsTree.COMBO_OTHER_ROLLUP">"YNNYN"</definedName>
    <definedName name="NvsTree.COMBO_REL_PARTY">"YNNYN"</definedName>
    <definedName name="NvsTree.COMBO_TRUST_ACCT">"YNNYN"</definedName>
    <definedName name="NvsTree.COMBOEDIT_AMPAM">"YNNYN"</definedName>
    <definedName name="NvsTree.DIM_AMPB_ACC">"YNNYN"</definedName>
    <definedName name="NvsTree.DIM_AMPB_BUS">"YNNYN"</definedName>
    <definedName name="NvsTree.DIM_AMPB_DEP">"YNNYN"</definedName>
    <definedName name="NvsTree.DIM_AMPBB01_ACC">"YNNYN"</definedName>
    <definedName name="NvsTree.DIM_AMPBB01_PROD">"YNNYN"</definedName>
    <definedName name="NvsTree.DIM_AMPGI01_ACC">"YNNYN"</definedName>
    <definedName name="NvsTree.DIM_AMPGI01_DEP">"YNNYN"</definedName>
    <definedName name="NvsTree.DIM_AMPGI02_ACC">"YNNYN"</definedName>
    <definedName name="NvsTree.DIM_AMPGI02_DEP">"YNNYN"</definedName>
    <definedName name="NvsTree.DIM_AMPLI_ACC">"YNNYN"</definedName>
    <definedName name="NvsTree.DIM_AMPLI_BUS">"YNNYN"</definedName>
    <definedName name="NvsTree.DIM_AMPLI_DEP">"YNNYN"</definedName>
    <definedName name="NvsTree.GIMF_ACCTROLLUP">"YNNYN"</definedName>
    <definedName name="NvsTree.GIMF_ALL_PRODUCTS">"YNNYN"</definedName>
    <definedName name="NvsTree.GIMF_DEPT_FUND_YR">"YNNYN"</definedName>
    <definedName name="NvsTree.GIMF_DEPTROLLUP">"YNNYN"</definedName>
    <definedName name="NvsTree.GIMF_MANAGED_FUNDS">"YNNYN"</definedName>
    <definedName name="NvsTree.GIMF_NSWIMC_ACCT">"YNNYN"</definedName>
    <definedName name="NvsTree.GIMF_PROD_RPT">"YNNYN"</definedName>
    <definedName name="NvsTree.GIMF_TMF_PRODUCT">"YNNYN"</definedName>
    <definedName name="NvsTree.GIO_OLAS_BU">"YNNYN"</definedName>
    <definedName name="NvsTree.IT_DEPT">"YNNYN"</definedName>
    <definedName name="NvsTree.JW1_AMPBCONSOLACCT">"YNNYN"</definedName>
    <definedName name="NvsTree.JW2_AMPBCONSOLACCT">"YNNYN"</definedName>
    <definedName name="NvsTree.KAZ_AAS_BU">"YNNYN"</definedName>
    <definedName name="NvsTree.KAZ_DEPTMGTRPT">"YNNYN"</definedName>
    <definedName name="NvsTree.MA_AMPBMGTACCTROL">"YNNYN"</definedName>
    <definedName name="NvsTree.MA1_AMPBADBACCTROL">"YNNYN"</definedName>
    <definedName name="NvsTree.MA1_AMPBCONSOLACCT">"YNNYN"</definedName>
    <definedName name="NvsTree.NZT_ACCTROLLUP">"YNNYN"</definedName>
    <definedName name="NvsTree.NZT_ALLTRUSTROLLUP">"YNNYN"</definedName>
    <definedName name="NvsTree.NZT_DEPTROLLUP">"YNNYN"</definedName>
    <definedName name="NvsTree.NZT_PRODROLLUP">"YNNYN"</definedName>
    <definedName name="NvsTree.OLD_AFSACCROLLUP">"YNNYN"</definedName>
    <definedName name="NvsTree.OLD_AMPBMGTACCTROL">"YNNYN"</definedName>
    <definedName name="NvsTree.OLD_DEPTMGTRPT">"YNNYN"</definedName>
    <definedName name="NvsTree.SML_ALL_PRODUCTS">"YNNYN"</definedName>
    <definedName name="NvsTree.SML_DEPTROLLUP">"YNNYN"</definedName>
    <definedName name="NvsTree.SML_MGT_CONSOL">"YNNYN"</definedName>
    <definedName name="NvsTree.SML_PROD_OWNER">"YNNYN"</definedName>
    <definedName name="NvsTree.SYS_DEPT">"YNNYN"</definedName>
    <definedName name="NvsTree.TRUST_BU_ROLLUP">"YNNYN"</definedName>
    <definedName name="NvsTree.TRUST_NAV_ROLLUP">"YNNYN"</definedName>
    <definedName name="NvsTree.TRUSTACCOUNTROLLUP">"YNNYN"</definedName>
    <definedName name="NvsTree.WCOMP_ACCTROLLUP">"YNNYN"</definedName>
    <definedName name="NvsTree.WCOMP_FUND_YEAR">"YNNYN"</definedName>
    <definedName name="NvsTreeASD">"V2007-02-28"</definedName>
    <definedName name="NvsValTbl.ACCOUNT">"GL_ACCOUNT_TBL"</definedName>
    <definedName name="NvsValTbl.AFFILIATE">"AFFILIATE_VW"</definedName>
    <definedName name="NvsValTbl.BUSINESS_UNIT">"BUS_UNIT_TBL_FS"</definedName>
    <definedName name="NvsValTbl.CURRENCY_CD">"CURRENCY_CD_TBL"</definedName>
    <definedName name="NvsValTbl.DEPTID">"DEPARTMENT_TBL"</definedName>
    <definedName name="NvsValTbl.DISC_SUR_ID">"BI_DISC_SUR_VW"</definedName>
    <definedName name="NvsValTbl.OTHER">"OTHER_TBL"</definedName>
    <definedName name="NvsValTbl.PRODUCT">"PRODUCT_TBL"</definedName>
    <definedName name="NvsValTbl.PROJECT_ID">"PROJECT_ID_VW"</definedName>
    <definedName name="NvsValTbl.SCENARIO">"BD_SCENARIO_TBL"</definedName>
    <definedName name="NvsValTbl.SUBCUST_QUAL1">"SUBCUST_Q1_TBL"</definedName>
    <definedName name="OctSun1">DATE(CalendarYear,10,1)-WEEKDAY(DATE(CalendarYear,10,1))+1</definedName>
    <definedName name="Office_Equipments">#REF!</definedName>
    <definedName name="old_sale">#REF!</definedName>
    <definedName name="omfsfsa">#REF!</definedName>
    <definedName name="OntarioRate">#REF!</definedName>
    <definedName name="OntCapTax">#REF!</definedName>
    <definedName name="OntPYAdj">#REF!</definedName>
    <definedName name="OntPYCapAdj">#REF!</definedName>
    <definedName name="OntTax">#REF!</definedName>
    <definedName name="Op_Income">#REF!</definedName>
    <definedName name="OpenReserve">#REF!</definedName>
    <definedName name="Operating_Income">#REF!</definedName>
    <definedName name="Other_Income">#REF!</definedName>
    <definedName name="PAGE1">#REF!</definedName>
    <definedName name="Page1a">#REF!</definedName>
    <definedName name="Page1b">#REF!</definedName>
    <definedName name="PAGE2">#REF!</definedName>
    <definedName name="Page2a">#REF!</definedName>
    <definedName name="Page2b">#REF!</definedName>
    <definedName name="PAGE3">#REF!</definedName>
    <definedName name="Payment_Date">DATE(YEAR(Loan_Start),MONTH(Loan_Start)+Payment_Number,DAY(Loan_Start))</definedName>
    <definedName name="Payment_Number">ROW()-Header_Row</definedName>
    <definedName name="Period_Selected">[10]Timelines!$P$8</definedName>
    <definedName name="PeriodDisplay">[11]Input!$A$3</definedName>
    <definedName name="Periodic_rate">Annual_interest_rate/Payments_per_year</definedName>
    <definedName name="PeriodMember">[11]Input!$D$7</definedName>
    <definedName name="PG_2">[20]NOTES!#REF!</definedName>
    <definedName name="PG_4">[20]NOTES!#REF!</definedName>
    <definedName name="PG_5">[20]NOTES!#REF!</definedName>
    <definedName name="plac">'[21]P&amp;L'!#REF!</definedName>
    <definedName name="Plant">#REF!</definedName>
    <definedName name="Platform_BL">#REF!</definedName>
    <definedName name="Platform_Entity_list">#REF!</definedName>
    <definedName name="Platform_List">#REF!</definedName>
    <definedName name="Platform_Selected">[15]Timelines!$H$6</definedName>
    <definedName name="PositiveNegative">'[22]DTA Recognition Analysis'!$K$1:$K$3</definedName>
    <definedName name="Power_Plant_Name">"Ilijan, Phillipines (1200 MW)"</definedName>
    <definedName name="ppppp">{"'Blank'!$A$1:$A$2"}</definedName>
    <definedName name="Principal">-PPMT(Interest_Rate/12,Payment_Number,Number_of_Payments,Loan_Amount)</definedName>
    <definedName name="PRINT">#REF!</definedName>
    <definedName name="print_area_m2">#REF!</definedName>
    <definedName name="Print_Area_MI">#REF!</definedName>
    <definedName name="Print_Area_Reset">OFFSET(Full_Print,0,0,Last_Row)</definedName>
    <definedName name="Print_Range">#REF!</definedName>
    <definedName name="_xlnm.Print_Titles">#N/A</definedName>
    <definedName name="PriorYear">#REF!</definedName>
    <definedName name="PriorYearITC">'[12]Step 1 - Current Taxes'!#REF!</definedName>
    <definedName name="ProdMarket2">#REF!</definedName>
    <definedName name="Profservs1">#REF!</definedName>
    <definedName name="Profsvs2">#REF!</definedName>
    <definedName name="prov">#REF!</definedName>
    <definedName name="Prov1">#REF!</definedName>
    <definedName name="Prov2">#REF!</definedName>
    <definedName name="QuebecRate">#REF!</definedName>
    <definedName name="QuebecTax">#REF!</definedName>
    <definedName name="QueCapTax">#REF!</definedName>
    <definedName name="QuePYAdj">#REF!</definedName>
    <definedName name="QuePYCapAdj">#REF!</definedName>
    <definedName name="RATE">'[12]Step 5 - Rate Reconciliation'!$E$39</definedName>
    <definedName name="RawData">#REF!</definedName>
    <definedName name="RawHeader">#REF!</definedName>
    <definedName name="recon">#REF!</definedName>
    <definedName name="RegionList" hidden="1">[23]Information!$E$1:$E$16</definedName>
    <definedName name="Report_Version_4">"A1"</definedName>
    <definedName name="ReportDate">[11]Input!$A$5</definedName>
    <definedName name="RiskCollectDistributionSamples">2</definedName>
    <definedName name="RiskFixedSeed">1</definedName>
    <definedName name="RiskHasSettings">TRUE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tandardRecalc">1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mcAccount">21809</definedName>
    <definedName name="rmcName">"BSYSNR*"</definedName>
    <definedName name="RMCOptions">"*000000000000000"</definedName>
    <definedName name="RNGDETAILS0">#REF!</definedName>
    <definedName name="rr">{"'Blank'!$A$1:$A$2"}</definedName>
    <definedName name="RSprod1">#REF!</definedName>
    <definedName name="RSprod2">#REF!</definedName>
    <definedName name="rsurp">'[21]SCH-A,B,C'!#REF!</definedName>
    <definedName name="Rwvu.Overhead._.detail." hidden="1">#REF!,#REF!</definedName>
    <definedName name="Rwvu.Profit._.report._.detailed." hidden="1">#REF!,#REF!</definedName>
    <definedName name="Sahana">#REF!</definedName>
    <definedName name="Sales1">#REF!</definedName>
    <definedName name="Sales2">#REF!</definedName>
    <definedName name="SAPBEXdnldView">"47QAG6PHEDFUX9G7Q7ND64ZC7"</definedName>
    <definedName name="SAPBEXrevision">1</definedName>
    <definedName name="SAPBEXsysID">"CWP"</definedName>
    <definedName name="SAPBEXwbID">"AZQOVPIUY1TILGBXACRBOMHOM"</definedName>
    <definedName name="sargsdfgsdfsdgasd" hidden="1">{#N/A,#N/A,FALSE,"COMP"}</definedName>
    <definedName name="SaskPYCapAdj">#REF!</definedName>
    <definedName name="sc">#REF!</definedName>
    <definedName name="sch13_cfrAdd">#REF!</definedName>
    <definedName name="sch13_cfrAdj">#REF!</definedName>
    <definedName name="sch13_cfrDescription">#REF!</definedName>
    <definedName name="sch13_cfrDisp">#REF!</definedName>
    <definedName name="sch13_cfrOpeningBalance">#REF!</definedName>
    <definedName name="sch13_Part1Add">#REF!</definedName>
    <definedName name="sch13_Part1Adj">#REF!</definedName>
    <definedName name="sch13_Part1Description">#REF!</definedName>
    <definedName name="sch13_Part1Disp">#REF!</definedName>
    <definedName name="sch13_Part1OpeningBalance">#REF!</definedName>
    <definedName name="sch31_Adjustments">#REF!</definedName>
    <definedName name="sch31_OpeningBalance">#REF!</definedName>
    <definedName name="sch8_Addition">#REF!</definedName>
    <definedName name="sch8_Beginning">#REF!</definedName>
    <definedName name="sch8_Class">#REF!</definedName>
    <definedName name="sch8_Disp">#REF!</definedName>
    <definedName name="sch8_Rate">#REF!</definedName>
    <definedName name="sd">"V2001-11-30"</definedName>
    <definedName name="sdagfsda" hidden="1">{#N/A,#N/A,FALSE,"COMP"}</definedName>
    <definedName name="sdfjdfjdfk">#REF!</definedName>
    <definedName name="sdfsdf" hidden="1">#REF!</definedName>
    <definedName name="Selector_Month">'[10]Caption List'!$BM$15:$BM$18</definedName>
    <definedName name="Selector_Year">'[10]Caption List'!$BJ$14:$BJ$24</definedName>
    <definedName name="sencount">1</definedName>
    <definedName name="SepSun1">DATE(CalendarYear,9,1)-WEEKDAY(DATE(CalendarYear,9,1))+1</definedName>
    <definedName name="SeriesABCTotalPref">SeriesATotalPref+SeriesBTotalPref+SeriesCTotalPref</definedName>
    <definedName name="SeriesABTotalPref">SeriesATotalPref+SeriesBTotalPref</definedName>
    <definedName name="SeriesBCDTotalPref">SeriesBTotalPref+SeriesCTotalPref+SeriesDTotalPref</definedName>
    <definedName name="SeriesBCTotalPref">SeriesBTotalPref+SeriesCTotalPref</definedName>
    <definedName name="SeriesCDTotalPref">SeriesCTotalPref+SeriesDTotalPref</definedName>
    <definedName name="sfsdf">0.000674305556458421</definedName>
    <definedName name="sha">'[24]BS-203'!#REF!</definedName>
    <definedName name="sheet1.newcountrycode">'[25]Income Details'!$F$139:$F$334</definedName>
    <definedName name="sheet1.newstcode">'[25]Income Details'!$BH$1:$BH$37</definedName>
    <definedName name="shettetrws">#REF!</definedName>
    <definedName name="shfsdfjsjf" hidden="1">#REF!</definedName>
    <definedName name="ShortPeriodMember">[11]Input!$D$8</definedName>
    <definedName name="show_rev1_headings">[0]!show_rev1_headings</definedName>
    <definedName name="show_rev2_headings">[0]!show_rev2_headings</definedName>
    <definedName name="Shridhar">#REF!</definedName>
    <definedName name="shrihdarsd">#REF!</definedName>
    <definedName name="ShrikantVChoudhari">#REF!</definedName>
    <definedName name="SHT">#REF!</definedName>
    <definedName name="sl">#REF!</definedName>
    <definedName name="solver_lin">0</definedName>
    <definedName name="solver_num">0</definedName>
    <definedName name="solver_rel1">2</definedName>
    <definedName name="solver_rel2">2</definedName>
    <definedName name="solver_rel3">2</definedName>
    <definedName name="solver_rhs1">0</definedName>
    <definedName name="solver_rhs2">0</definedName>
    <definedName name="solver_rhs3">0</definedName>
    <definedName name="solver_tmp">0</definedName>
    <definedName name="solver_typ">3</definedName>
    <definedName name="solver_val">0.6</definedName>
    <definedName name="SPAIN">#REF!</definedName>
    <definedName name="SPAN">#REF!</definedName>
    <definedName name="SPWS_WBID">"3D3E48EE-853C-11D3-B905-00C04FACE973"</definedName>
    <definedName name="srinivas">#REF!</definedName>
    <definedName name="Srinivasa">#REF!</definedName>
    <definedName name="ssssss">{"' calendrier 2000'!$A$1:$Q$38"}</definedName>
    <definedName name="ST">#REF!</definedName>
    <definedName name="STRD">'[12]Step 5 - Rate Reconciliation'!$F$21</definedName>
    <definedName name="SWED">#REF!</definedName>
    <definedName name="SWEDEN">#REF!</definedName>
    <definedName name="SWIT">#REF!</definedName>
    <definedName name="SWITZERLAND">#REF!</definedName>
    <definedName name="Swvu.Overhead._.detail." hidden="1">#REF!</definedName>
    <definedName name="Swvu.Profit._.report._.detailed." hidden="1">#REF!</definedName>
    <definedName name="SXBNDDSP">0</definedName>
    <definedName name="t">{"'Blank'!$A$1:$A$2"}</definedName>
    <definedName name="TableName">"Dummy"</definedName>
    <definedName name="Tax">[8]Comp!#REF!</definedName>
    <definedName name="TaxLiability">#REF!</definedName>
    <definedName name="TaxRate">#REF!</definedName>
    <definedName name="TaxYear">#REF!</definedName>
    <definedName name="TempDiff">'[12]Step 1 - Current Taxes'!#REF!</definedName>
    <definedName name="template">#REF!</definedName>
    <definedName name="TemplatePrintArea">#REF!</definedName>
    <definedName name="templates">#REF!</definedName>
    <definedName name="TEST0">#REF!</definedName>
    <definedName name="TESTHKEY">#REF!</definedName>
    <definedName name="TESTKEYS">#REF!</definedName>
    <definedName name="TESTVKEY">#REF!</definedName>
    <definedName name="TextRefCopyRangeCount">4</definedName>
    <definedName name="thousand">1000</definedName>
    <definedName name="TimeSheetOnProjects">#REF!</definedName>
    <definedName name="TLT">#REF!</definedName>
    <definedName name="TOT">#REF!</definedName>
    <definedName name="Total">#REF!</definedName>
    <definedName name="Total_Expenses">#REF!</definedName>
    <definedName name="Total_Payment">Scheduled_Payment+Extra_Payment</definedName>
    <definedName name="Total_payment1">Scheduled_Payment+Extra_Payment</definedName>
    <definedName name="total_payment2">Scheduled_Payment+Extra_Payment</definedName>
    <definedName name="Total_payments">Payments_per_year*Term_in_years</definedName>
    <definedName name="TotalAShares">SeriesAShares+SeriesAWarrants</definedName>
    <definedName name="TotalBShares">SeriesBShares+SeriesBWarrants</definedName>
    <definedName name="TotalCommonShares">CommonShares+CommonWarrants+Options</definedName>
    <definedName name="TotalCShares">SeriesCShares+SeriesCWarrants</definedName>
    <definedName name="TotalDShares">SeriesDShares+SeriesDWarrants</definedName>
    <definedName name="TotalPayment">Scheduled_Payment+Extra_Payment</definedName>
    <definedName name="TRIA">#REF!</definedName>
    <definedName name="trust">'[26]BS-203'!#REF!</definedName>
    <definedName name="TRUSTPF">#REF!</definedName>
    <definedName name="tt">Scheduled_Payment+Extra_Payment</definedName>
    <definedName name="TwoAndAHalfMonthdate">IF(TaxYearEnd="","",MONTH(TaxYearEnd+75)&amp;"/15"&amp;"/"&amp;YEAR(MyNextYear))</definedName>
    <definedName name="tyeardate">DATE(2000,12,31)</definedName>
    <definedName name="UCCending">#REF!</definedName>
    <definedName name="UER">#REF!</definedName>
    <definedName name="UNI_FILT_OFFSPEC">2</definedName>
    <definedName name="UNI_FILT_ONSPEC">1</definedName>
    <definedName name="UNI_NOTHING">0</definedName>
    <definedName name="UNI_PRES_FILTER">1</definedName>
    <definedName name="UNI_PRES_HEADINGS">16</definedName>
    <definedName name="UNI_PRES_INVERT">2</definedName>
    <definedName name="UNI_PRES_MATRIX">4</definedName>
    <definedName name="UNI_PRES_MERGED">8</definedName>
    <definedName name="UNI_PRES_OUTLIERS">32</definedName>
    <definedName name="UNI_RET_ATTRIB">64</definedName>
    <definedName name="UNI_RET_CONF">32</definedName>
    <definedName name="UNI_RET_DESC">4</definedName>
    <definedName name="UNI_RET_EQUIP">1</definedName>
    <definedName name="UNI_RET_OFFSPEC">512</definedName>
    <definedName name="UNI_RET_ONSPEC">256</definedName>
    <definedName name="UNI_RET_PROP">32</definedName>
    <definedName name="UNI_RET_PROPDESC">64</definedName>
    <definedName name="UNI_RET_SMPLPNT">4</definedName>
    <definedName name="UNI_RET_SPECMAX">2048</definedName>
    <definedName name="UNI_RET_SPECMIN">1024</definedName>
    <definedName name="UNI_RET_TAG">1</definedName>
    <definedName name="UNI_RET_TESTTIME">128</definedName>
    <definedName name="UNI_RET_TIME">8</definedName>
    <definedName name="UNI_RET_UNIT">2</definedName>
    <definedName name="UNI_RET_VALUE">16</definedName>
    <definedName name="Validation_Threshold">'[15]Template Instructions'!$L$7</definedName>
    <definedName name="ValidClass">'[14]Dont Alter'!$B$3:$B$15</definedName>
    <definedName name="Valuation_Metrics">'[10]Caption List'!$AO$12:$AV$46</definedName>
    <definedName name="ValueMember">[11]Input!$D$5</definedName>
    <definedName name="Values_Entered">IF(Loan_Amount*Interest_Rate*Loan_Years*Loan_Start&gt;0,1,0)</definedName>
    <definedName name="vishwa">#REF!</definedName>
    <definedName name="wrn.access." hidden="1">{"Access",#N/A,FALSE,"Access"}</definedName>
    <definedName name="wrn.checks." hidden="1">{"Checks",#N/A,FALSE,"Checks"}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hidden="1">{"Reconciliation",#N/A,FALSE,"Rec";"Ebit_detail",#N/A,FALSE,"P&amp;L";"Cash_summary",#N/A,FALSE,"Cash"}</definedName>
    <definedName name="wrn.Financial._.Results." hidden="1">{"Financial Results",#N/A,FALSE,"Total Project Economics"}</definedName>
    <definedName name="wrn.FORM1." hidden="1">{#N/A,#N/A,FALSE,"COMP"}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rving._.report." hidden="1">{#N/A,#N/A,FALSE,"Summary";#N/A,#N/A,FALSE,"Total Project Economics"}</definedName>
    <definedName name="wrn.misc." hidden="1">{#N/A,#N/A,FALSE,"Sheet10"}</definedName>
    <definedName name="wrn.O._.and._.M._.and._.Fuel." hidden="1">{"Fuel",#N/A,FALSE,"O and M and Fuel Incremental";"O and M",#N/A,FALSE,"O and M and Fuel Incremental"}</definedName>
    <definedName name="wrn.ocultar.">{"ocultar","kilometros",FALSE,"Hoja4"}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Summary." hidden="1">{"One",#N/A,FALSE,"Summary ";"Two",#N/A,FALSE,"Summary "}</definedName>
    <definedName name="wrn.print._.tenaska." hidden="1">{"Summary",#N/A,FALSE,"Total Project Economics";"Stmts",#N/A,FALSE,"Total Project Economics";#N/A,#N/A,FALSE,"WA Fwd Curve";#N/A,#N/A,FALSE,"O&amp;M, Fuel"}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jects._.1." hidden="1">{"Project_details",#N/A,FALSE,"Projects";"Project_checks",#N/A,FALSE,"Projects";"Project_completion",#N/A,FALSE,"Projects"}</definedName>
    <definedName name="wrn.Projects._.2." hidden="1">{"Project_profit",#N/A,FALSE,"Projects";"Project_reserves",#N/A,FALSE,"Project Reserves"}</definedName>
    <definedName name="wrn.Report." hidden="1">{"Title Page",#N/A,TRUE,"Title Page";"summary",#N/A,TRUE,"Total Project Economics";"Financial Results",#N/A,TRUE,"Total Project Economics"}</definedName>
    <definedName name="wrn.summary." hidden="1">{"summary",#N/A,FALSE,"Total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Variance._.1." hidden="1">{"Ebit_Variance",#N/A,FALSE,"P&amp;L";"Cash_Variance",#N/A,FALSE,"Cash"}</definedName>
    <definedName name="wrn.Variance._.2." hidden="1">{"Reserves_Variance",#N/A,FALSE,"Reserves";"Scm_Variance",#N/A,FALSE,"SCM";"tax_variance",#N/A,FALSE,"Tax"}</definedName>
    <definedName name="wrn.VARIANCE._.ANALYSIS." hidden="1">{#N/A,#N/A,FALSE," VAR ANA FULL YR summ";#N/A,#N/A,FALSE,"YTD VAR";#N/A,#N/A,FALSE,"Var last mth to curr mth"}</definedName>
    <definedName name="wrn.Working._.Papers._.1." hidden="1">{"Assumptions_other",#N/A,FALSE,"Assump";"Ebit_division_indirect",#N/A,FALSE,"P&amp;L";"Ebit_indirect_allocation",#N/A,FALSE,"P&amp;L"}</definedName>
    <definedName name="wrn.Working._.Papers._.2." hidden="1">{"Cash_detail",#N/A,FALSE,"Cash";"Cash_reconciliation",#N/A,FALSE,"Cash";"Scm",#N/A,FALSE,"SCM";"Tax",#N/A,FALSE,"Tax"}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x">"AAM7W5Y3JEI54IER8NXF6UEIQ"</definedName>
    <definedName name="XRefColumnsCount">4</definedName>
    <definedName name="XRefCopyRangeCount">2</definedName>
    <definedName name="XRefPasteRangeCount">11</definedName>
    <definedName name="xxx">"V2001-11-30"</definedName>
    <definedName name="XXXXXXXXXXXXXXXX">{"ocultar","kilometros",FALSE,"Hoja4"}</definedName>
    <definedName name="Year_selected">[10]Timelines!$P$7</definedName>
    <definedName name="YearMember">[11]Input!$D$6</definedName>
    <definedName name="Z_103EF461_8E0C_11D4_BD19_00C04F7ADBB0_.wvu.PrintTitles" hidden="1">#REF!</definedName>
    <definedName name="Z_1C8A8291_48BB_11D3_BD19_00C04F7ADBB0_.wvu.PrintTitles" hidden="1">#REF!</definedName>
    <definedName name="Z_22616A05_83D1_11D4_BD19_00C04F7ADBB0_.wvu.PrintTitle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6741B30_9E05_11D4_BE09_0050040BF713_.wvu.Cols" hidden="1">#REF!</definedName>
    <definedName name="Z_56741B30_9E05_11D4_BE09_0050040BF713_.wvu.PrintTitle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9426E38C_13B4_4AE0_934B_D7DFB740B66C_.wvu.PrintArea">#REF!</definedName>
    <definedName name="Z_9426E38C_13B4_4AE0_934B_D7DFB740B66C_.wvu.PrintArea_1">#REF!</definedName>
    <definedName name="Z_9426E38C_13B4_4AE0_934B_D7DFB740B66C_.wvu.PrintArea_12">#REF!</definedName>
    <definedName name="Z_9426E38C_13B4_4AE0_934B_D7DFB740B66C_.wvu.PrintArea_13">#REF!</definedName>
    <definedName name="Z_9426E38C_13B4_4AE0_934B_D7DFB740B66C_.wvu.PrintArea_15">#REF!</definedName>
    <definedName name="Z_9426E38C_13B4_4AE0_934B_D7DFB740B66C_.wvu.PrintArea_16">#REF!</definedName>
    <definedName name="Z_9426E38C_13B4_4AE0_934B_D7DFB740B66C_.wvu.PrintArea_19">#REF!</definedName>
    <definedName name="Z_9426E38C_13B4_4AE0_934B_D7DFB740B66C_.wvu.PrintArea_2">#REF!</definedName>
    <definedName name="Z_9426E38C_13B4_4AE0_934B_D7DFB740B66C_.wvu.PrintArea_20">#REF!</definedName>
    <definedName name="Z_9426E38C_13B4_4AE0_934B_D7DFB740B66C_.wvu.PrintArea_24">#REF!</definedName>
    <definedName name="Z_9426E38C_13B4_4AE0_934B_D7DFB740B66C_.wvu.PrintArea_25">#REF!</definedName>
    <definedName name="Z_9426E38C_13B4_4AE0_934B_D7DFB740B66C_.wvu.PrintArea_26">#REF!</definedName>
    <definedName name="Z_9426E38C_13B4_4AE0_934B_D7DFB740B66C_.wvu.PrintArea_27">#REF!</definedName>
    <definedName name="Z_9426E38C_13B4_4AE0_934B_D7DFB740B66C_.wvu.PrintArea_28">#REF!</definedName>
    <definedName name="Z_9426E38C_13B4_4AE0_934B_D7DFB740B66C_.wvu.PrintArea_29">#REF!</definedName>
    <definedName name="Z_9426E38C_13B4_4AE0_934B_D7DFB740B66C_.wvu.PrintArea_3">#REF!</definedName>
    <definedName name="Z_9426E38C_13B4_4AE0_934B_D7DFB740B66C_.wvu.PrintArea_30">#REF!</definedName>
    <definedName name="Z_9426E38C_13B4_4AE0_934B_D7DFB740B66C_.wvu.PrintArea_31">#REF!</definedName>
    <definedName name="Z_9426E38C_13B4_4AE0_934B_D7DFB740B66C_.wvu.PrintArea_32">#REF!</definedName>
    <definedName name="Z_9426E38C_13B4_4AE0_934B_D7DFB740B66C_.wvu.PrintArea_33">#REF!</definedName>
    <definedName name="Z_9426E38C_13B4_4AE0_934B_D7DFB740B66C_.wvu.PrintArea_34">#REF!</definedName>
    <definedName name="Z_9426E38C_13B4_4AE0_934B_D7DFB740B66C_.wvu.PrintArea_4">#REF!</definedName>
    <definedName name="Z_9426E38C_13B4_4AE0_934B_D7DFB740B66C_.wvu.PrintArea_42">#REF!</definedName>
    <definedName name="Z_9426E38C_13B4_4AE0_934B_D7DFB740B66C_.wvu.PrintArea_5">#REF!</definedName>
    <definedName name="Z_9426E38C_13B4_4AE0_934B_D7DFB740B66C_.wvu.PrintTitles">#REF!</definedName>
    <definedName name="Z_9426E38C_13B4_4AE0_934B_D7DFB740B66C_.wvu.PrintTitles_1">#N/A</definedName>
    <definedName name="Z_9426E38C_13B4_4AE0_934B_D7DFB740B66C_.wvu.PrintTitles_10">#N/A</definedName>
    <definedName name="Z_9426E38C_13B4_4AE0_934B_D7DFB740B66C_.wvu.PrintTitles_11">#N/A</definedName>
    <definedName name="Z_9426E38C_13B4_4AE0_934B_D7DFB740B66C_.wvu.PrintTitles_12">#N/A</definedName>
    <definedName name="Z_9426E38C_13B4_4AE0_934B_D7DFB740B66C_.wvu.PrintTitles_2">#N/A</definedName>
    <definedName name="Z_9426E38C_13B4_4AE0_934B_D7DFB740B66C_.wvu.PrintTitles_3">#N/A</definedName>
    <definedName name="Z_9426E38C_13B4_4AE0_934B_D7DFB740B66C_.wvu.PrintTitles_4">#N/A</definedName>
    <definedName name="Z_9426E38C_13B4_4AE0_934B_D7DFB740B66C_.wvu.PrintTitles_5">#N/A</definedName>
    <definedName name="Z_9426E38C_13B4_4AE0_934B_D7DFB740B66C_.wvu.PrintTitles_6">#N/A</definedName>
    <definedName name="Z_9426E38C_13B4_4AE0_934B_D7DFB740B66C_.wvu.PrintTitles_7">#N/A</definedName>
    <definedName name="Z_9426E38C_13B4_4AE0_934B_D7DFB740B66C_.wvu.PrintTitles_8">#N/A</definedName>
    <definedName name="Z_9426E38C_13B4_4AE0_934B_D7DFB740B66C_.wvu.PrintTitles_9">#N/A</definedName>
    <definedName name="Z_9C764411_CC6B_11D4_A50D_00010277FBAA_.wvu.PrintArea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0" i="10" l="1"/>
  <c r="J34" i="10"/>
  <c r="J24" i="10"/>
  <c r="J44" i="10"/>
  <c r="S43" i="10"/>
  <c r="S44" i="10" s="1"/>
  <c r="S39" i="10"/>
  <c r="S40" i="10" s="1"/>
  <c r="S33" i="10"/>
  <c r="S32" i="10"/>
  <c r="S31" i="10"/>
  <c r="S30" i="10"/>
  <c r="S29" i="10"/>
  <c r="S28" i="10"/>
  <c r="S27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9" i="10"/>
  <c r="R43" i="10"/>
  <c r="R44" i="10" s="1"/>
  <c r="Q35" i="10"/>
  <c r="Q43" i="10"/>
  <c r="Q44" i="10" s="1"/>
  <c r="Q47" i="10"/>
  <c r="L44" i="10"/>
  <c r="K44" i="10"/>
  <c r="M43" i="10"/>
  <c r="N43" i="10" s="1"/>
  <c r="N44" i="10" s="1"/>
  <c r="K40" i="10"/>
  <c r="M39" i="10"/>
  <c r="L39" i="10"/>
  <c r="K34" i="10"/>
  <c r="M33" i="10"/>
  <c r="L33" i="10"/>
  <c r="M32" i="10"/>
  <c r="L32" i="10"/>
  <c r="M31" i="10"/>
  <c r="L31" i="10"/>
  <c r="M30" i="10"/>
  <c r="L30" i="10"/>
  <c r="M29" i="10"/>
  <c r="L29" i="10"/>
  <c r="Q29" i="10" s="1"/>
  <c r="M28" i="10"/>
  <c r="L28" i="10"/>
  <c r="M27" i="10"/>
  <c r="L27" i="10"/>
  <c r="K24" i="10"/>
  <c r="M23" i="10"/>
  <c r="L23" i="10"/>
  <c r="M22" i="10"/>
  <c r="L22" i="10"/>
  <c r="M21" i="10"/>
  <c r="L21" i="10"/>
  <c r="M20" i="10"/>
  <c r="L20" i="10"/>
  <c r="M19" i="10"/>
  <c r="L19" i="10"/>
  <c r="M18" i="10"/>
  <c r="L18" i="10"/>
  <c r="Q18" i="10" s="1"/>
  <c r="M17" i="10"/>
  <c r="L17" i="10"/>
  <c r="M16" i="10"/>
  <c r="L16" i="10"/>
  <c r="M15" i="10"/>
  <c r="L15" i="10"/>
  <c r="M14" i="10"/>
  <c r="L14" i="10"/>
  <c r="M13" i="10"/>
  <c r="L13" i="10"/>
  <c r="M12" i="10"/>
  <c r="L12" i="10"/>
  <c r="M11" i="10"/>
  <c r="L11" i="10"/>
  <c r="M10" i="10"/>
  <c r="L10" i="10"/>
  <c r="M9" i="10"/>
  <c r="L9" i="10"/>
  <c r="J36" i="10" l="1"/>
  <c r="J46" i="10"/>
  <c r="O33" i="10"/>
  <c r="O29" i="10"/>
  <c r="S34" i="10"/>
  <c r="S46" i="10"/>
  <c r="S24" i="10"/>
  <c r="Q12" i="10"/>
  <c r="Q30" i="10"/>
  <c r="Q28" i="10"/>
  <c r="Q10" i="10"/>
  <c r="Q13" i="10"/>
  <c r="Q21" i="10"/>
  <c r="Q31" i="10"/>
  <c r="Q16" i="10"/>
  <c r="Q9" i="10"/>
  <c r="O30" i="10"/>
  <c r="Q14" i="10"/>
  <c r="Q22" i="10"/>
  <c r="Q32" i="10"/>
  <c r="Q17" i="10"/>
  <c r="N13" i="10"/>
  <c r="N21" i="10"/>
  <c r="O31" i="10"/>
  <c r="Q20" i="10"/>
  <c r="O10" i="10"/>
  <c r="O18" i="10"/>
  <c r="N28" i="10"/>
  <c r="Q11" i="10"/>
  <c r="Q15" i="10"/>
  <c r="Q19" i="10"/>
  <c r="Q23" i="10"/>
  <c r="K46" i="10"/>
  <c r="N30" i="10"/>
  <c r="O9" i="10"/>
  <c r="N17" i="10"/>
  <c r="O27" i="10"/>
  <c r="Q39" i="10"/>
  <c r="Q40" i="10" s="1"/>
  <c r="Q46" i="10" s="1"/>
  <c r="O14" i="10"/>
  <c r="O22" i="10"/>
  <c r="Q33" i="10"/>
  <c r="O12" i="10"/>
  <c r="O16" i="10"/>
  <c r="O20" i="10"/>
  <c r="L40" i="10"/>
  <c r="L46" i="10" s="1"/>
  <c r="O32" i="10"/>
  <c r="Q27" i="10"/>
  <c r="L24" i="10"/>
  <c r="L34" i="10"/>
  <c r="K36" i="10"/>
  <c r="K48" i="10" s="1"/>
  <c r="O28" i="10"/>
  <c r="N39" i="10"/>
  <c r="O11" i="10"/>
  <c r="O15" i="10"/>
  <c r="O19" i="10"/>
  <c r="O23" i="10"/>
  <c r="N32" i="10"/>
  <c r="N9" i="10"/>
  <c r="N11" i="10"/>
  <c r="N15" i="10"/>
  <c r="N19" i="10"/>
  <c r="N23" i="10"/>
  <c r="O39" i="10"/>
  <c r="O40" i="10" s="1"/>
  <c r="O13" i="10"/>
  <c r="O17" i="10"/>
  <c r="O21" i="10"/>
  <c r="N27" i="10"/>
  <c r="N29" i="10"/>
  <c r="N31" i="10"/>
  <c r="N33" i="10"/>
  <c r="R33" i="10" s="1"/>
  <c r="O43" i="10"/>
  <c r="O44" i="10" s="1"/>
  <c r="N10" i="10"/>
  <c r="N12" i="10"/>
  <c r="N14" i="10"/>
  <c r="N16" i="10"/>
  <c r="N18" i="10"/>
  <c r="N20" i="10"/>
  <c r="N22" i="10"/>
  <c r="R29" i="10" l="1"/>
  <c r="R13" i="10"/>
  <c r="O46" i="10"/>
  <c r="J48" i="10"/>
  <c r="R27" i="10"/>
  <c r="R21" i="10"/>
  <c r="R11" i="10"/>
  <c r="R10" i="10"/>
  <c r="R9" i="10"/>
  <c r="R32" i="10"/>
  <c r="R22" i="10"/>
  <c r="R19" i="10"/>
  <c r="R18" i="10"/>
  <c r="R14" i="10"/>
  <c r="N40" i="10"/>
  <c r="N46" i="10" s="1"/>
  <c r="R39" i="10"/>
  <c r="R40" i="10" s="1"/>
  <c r="R46" i="10" s="1"/>
  <c r="R30" i="10"/>
  <c r="R31" i="10"/>
  <c r="R28" i="10"/>
  <c r="R23" i="10"/>
  <c r="R20" i="10"/>
  <c r="R17" i="10"/>
  <c r="R16" i="10"/>
  <c r="R15" i="10"/>
  <c r="R12" i="10"/>
  <c r="S36" i="10"/>
  <c r="S48" i="10" s="1"/>
  <c r="Q24" i="10"/>
  <c r="L36" i="10"/>
  <c r="L48" i="10" s="1"/>
  <c r="O34" i="10"/>
  <c r="Q34" i="10"/>
  <c r="O24" i="10"/>
  <c r="N34" i="10"/>
  <c r="N24" i="10"/>
  <c r="R34" i="10" l="1"/>
  <c r="R24" i="10"/>
  <c r="Q36" i="10"/>
  <c r="Q48" i="10" s="1"/>
  <c r="O36" i="10"/>
  <c r="O48" i="10" s="1"/>
  <c r="N36" i="10"/>
  <c r="N48" i="10" s="1"/>
  <c r="R36" i="10" l="1"/>
  <c r="R48" i="10" s="1"/>
  <c r="D82" i="9" l="1"/>
  <c r="D78" i="9"/>
  <c r="D62" i="9"/>
  <c r="D49" i="9"/>
  <c r="D44" i="9"/>
  <c r="D24" i="9"/>
  <c r="D11" i="9"/>
  <c r="D66" i="9"/>
  <c r="C66" i="9"/>
  <c r="D51" i="9" l="1"/>
  <c r="D64" i="9" s="1"/>
  <c r="D68" i="9" s="1"/>
  <c r="C78" i="9" l="1"/>
  <c r="C62" i="9"/>
  <c r="C49" i="9"/>
  <c r="C44" i="9"/>
  <c r="C24" i="9"/>
  <c r="C11" i="9"/>
  <c r="C51" i="9" l="1"/>
  <c r="C64" i="9" s="1"/>
  <c r="C68" i="9" s="1"/>
  <c r="C80" i="9" s="1"/>
  <c r="C82" i="9" s="1"/>
  <c r="C66" i="7"/>
  <c r="C78" i="7"/>
  <c r="D41" i="8"/>
  <c r="E40" i="8" s="1"/>
  <c r="B41" i="8"/>
  <c r="C39" i="8" s="1"/>
  <c r="E35" i="8"/>
  <c r="K21" i="8"/>
  <c r="J21" i="8"/>
  <c r="I21" i="8"/>
  <c r="H21" i="8"/>
  <c r="L21" i="8" s="1"/>
  <c r="K20" i="8"/>
  <c r="J20" i="8"/>
  <c r="I20" i="8"/>
  <c r="H20" i="8"/>
  <c r="L20" i="8" s="1"/>
  <c r="K19" i="8"/>
  <c r="J19" i="8"/>
  <c r="I19" i="8"/>
  <c r="L19" i="8" s="1"/>
  <c r="H19" i="8"/>
  <c r="K18" i="8"/>
  <c r="J18" i="8"/>
  <c r="I18" i="8"/>
  <c r="H18" i="8"/>
  <c r="K15" i="8"/>
  <c r="J15" i="8"/>
  <c r="I15" i="8"/>
  <c r="H15" i="8"/>
  <c r="K14" i="8"/>
  <c r="B14" i="8"/>
  <c r="J14" i="8" s="1"/>
  <c r="K12" i="8"/>
  <c r="J12" i="8"/>
  <c r="I12" i="8"/>
  <c r="H12" i="8"/>
  <c r="L12" i="8" s="1"/>
  <c r="D8" i="8"/>
  <c r="K7" i="8"/>
  <c r="J7" i="8"/>
  <c r="I7" i="8"/>
  <c r="H7" i="8"/>
  <c r="K6" i="8"/>
  <c r="J6" i="8"/>
  <c r="I6" i="8"/>
  <c r="H6" i="8"/>
  <c r="K4" i="8"/>
  <c r="J4" i="8"/>
  <c r="I4" i="8"/>
  <c r="H4" i="8"/>
  <c r="C62" i="7"/>
  <c r="C49" i="7"/>
  <c r="C44" i="7"/>
  <c r="C24" i="7"/>
  <c r="C11" i="7"/>
  <c r="C51" i="7" l="1"/>
  <c r="C64" i="7" s="1"/>
  <c r="C68" i="7" s="1"/>
  <c r="C80" i="7" s="1"/>
  <c r="C82" i="7" s="1"/>
  <c r="L15" i="8"/>
  <c r="L6" i="8"/>
  <c r="C37" i="8"/>
  <c r="E37" i="8"/>
  <c r="L18" i="8"/>
  <c r="C33" i="8"/>
  <c r="C38" i="8"/>
  <c r="F38" i="8" s="1"/>
  <c r="B8" i="8" s="1"/>
  <c r="K8" i="8" s="1"/>
  <c r="L7" i="8"/>
  <c r="E33" i="8"/>
  <c r="E38" i="8"/>
  <c r="E36" i="8"/>
  <c r="C34" i="8"/>
  <c r="E39" i="8"/>
  <c r="F39" i="8" s="1"/>
  <c r="B5" i="8" s="1"/>
  <c r="E34" i="8"/>
  <c r="J8" i="8"/>
  <c r="I8" i="8"/>
  <c r="H8" i="8"/>
  <c r="C40" i="8"/>
  <c r="F40" i="8" s="1"/>
  <c r="B9" i="8" s="1"/>
  <c r="C35" i="8"/>
  <c r="F35" i="8" s="1"/>
  <c r="B13" i="8" s="1"/>
  <c r="H14" i="8"/>
  <c r="I14" i="8"/>
  <c r="C36" i="8"/>
  <c r="F36" i="8" s="1"/>
  <c r="B17" i="8" s="1"/>
  <c r="L4" i="8"/>
  <c r="K5" i="8" l="1"/>
  <c r="I5" i="8"/>
  <c r="J5" i="8"/>
  <c r="H5" i="8"/>
  <c r="L5" i="8" s="1"/>
  <c r="E41" i="8"/>
  <c r="F33" i="8"/>
  <c r="B11" i="8" s="1"/>
  <c r="F34" i="8"/>
  <c r="B10" i="8" s="1"/>
  <c r="L8" i="8"/>
  <c r="C41" i="8"/>
  <c r="F37" i="8"/>
  <c r="B16" i="8" s="1"/>
  <c r="I13" i="8"/>
  <c r="H13" i="8"/>
  <c r="J13" i="8"/>
  <c r="K13" i="8"/>
  <c r="J17" i="8"/>
  <c r="I17" i="8"/>
  <c r="H17" i="8"/>
  <c r="K17" i="8"/>
  <c r="I9" i="8"/>
  <c r="H9" i="8"/>
  <c r="K9" i="8"/>
  <c r="J9" i="8"/>
  <c r="K11" i="8"/>
  <c r="J11" i="8"/>
  <c r="I11" i="8"/>
  <c r="H11" i="8"/>
  <c r="L14" i="8"/>
  <c r="J24" i="8" l="1"/>
  <c r="I10" i="8"/>
  <c r="I24" i="8" s="1"/>
  <c r="K10" i="8"/>
  <c r="K24" i="8" s="1"/>
  <c r="H10" i="8"/>
  <c r="J10" i="8"/>
  <c r="F41" i="8"/>
  <c r="B24" i="8"/>
  <c r="J16" i="8"/>
  <c r="H16" i="8"/>
  <c r="K16" i="8"/>
  <c r="I16" i="8"/>
  <c r="L13" i="8"/>
  <c r="L11" i="8"/>
  <c r="L9" i="8"/>
  <c r="L17" i="8"/>
  <c r="L16" i="8" l="1"/>
  <c r="L10" i="8"/>
  <c r="L24" i="8" s="1"/>
  <c r="I2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Bilal Junaidy</author>
  </authors>
  <commentList>
    <comment ref="F8" authorId="0" shapeId="0" xr:uid="{C1C890B5-BF44-4C0F-ADC8-96BAB234363F}">
      <text>
        <r>
          <rPr>
            <b/>
            <sz val="9"/>
            <color indexed="81"/>
            <rFont val="Tahoma"/>
            <family val="2"/>
          </rPr>
          <t xml:space="preserve">Bilal Junaidy:
</t>
        </r>
        <r>
          <rPr>
            <sz val="9"/>
            <color indexed="81"/>
            <rFont val="Tahoma"/>
            <family val="2"/>
          </rPr>
          <t xml:space="preserve">Similar to Mike's version, this will have to be inputted by the client manually to help map the client's TB to this RSM standard schema.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96AF8-2D80-4B90-A73E-30DD70664EAF}" keepAlive="1" name="Query - Cached_RSM_TB" description="Connection to the 'Cached_RSM_TB' query in the workbook." type="5" refreshedVersion="0" background="1">
    <dbPr connection="Provider=Microsoft.Mashup.OleDb.1;Data Source=$Workbook$;Location=Cached_RSM_TB;Extended Properties=&quot;&quot;" command="SELECT * FROM [Cached_RSM_TB]"/>
  </connection>
  <connection id="2" xr16:uid="{AA54898F-20F1-4544-B854-ECC604A747D1}" keepAlive="1" name="Query - CoA" description="Connection to the 'CoA' query in the workbook." type="5" refreshedVersion="0" background="1">
    <dbPr connection="Provider=Microsoft.Mashup.OleDb.1;Data Source=$Workbook$;Location=CoA;Extended Properties=&quot;&quot;" command="SELECT * FROM [CoA]"/>
  </connection>
  <connection id="3" xr16:uid="{13F2197B-DD87-470F-BEF7-26E021FB3676}" keepAlive="1" name="Query - CoA&amp;LE" description="Connection to the 'CoA&amp;LE' query in the workbook." type="5" refreshedVersion="0" background="1">
    <dbPr connection="Provider=Microsoft.Mashup.OleDb.1;Data Source=$Workbook$;Location=CoA&amp;LE;Extended Properties=&quot;&quot;" command="SELECT * FROM [CoA&amp;LE]"/>
  </connection>
  <connection id="4" xr16:uid="{A7AA9DE9-1E98-4475-9BB1-728A85C18B61}" keepAlive="1" name="Query - CoA_StandaloneAccounts" description="Connection to the 'CoA_StandaloneAccounts' query in the workbook." type="5" refreshedVersion="0" background="1">
    <dbPr connection="Provider=Microsoft.Mashup.OleDb.1;Data Source=$Workbook$;Location=CoA_StandaloneAccounts;Extended Properties=&quot;&quot;" command="SELECT * FROM [CoA_StandaloneAccounts]"/>
  </connection>
  <connection id="5" xr16:uid="{261ACED8-EB6E-417F-9994-0B6D4E39FBB2}" keepAlive="1" name="Query - CoA_TotalAccounts" description="Connection to the 'CoA_TotalAccounts' query in the workbook." type="5" refreshedVersion="0" background="1">
    <dbPr connection="Provider=Microsoft.Mashup.OleDb.1;Data Source=$Workbook$;Location=CoA_TotalAccounts;Extended Properties=&quot;&quot;" command="SELECT * FROM [CoA_TotalAccounts]"/>
  </connection>
  <connection id="6" xr16:uid="{256BB80A-9458-4ADD-8F58-E02A78D2DA0E}" keepAlive="1" name="Query - Consol_Inputs" description="Connection to the 'Consol_Inputs' query in the workbook." type="5" refreshedVersion="0" background="1">
    <dbPr connection="Provider=Microsoft.Mashup.OleDb.1;Data Source=$Workbook$;Location=Consol_Inputs;Extended Properties=&quot;&quot;" command="SELECT * FROM [Consol_Inputs]"/>
  </connection>
  <connection id="7" xr16:uid="{63BFCCEF-33DD-4D12-B234-11035B2B3B84}" keepAlive="1" name="Query - CTE" description="Connection to the 'CTE' query in the workbook." type="5" refreshedVersion="6" background="1" saveData="1">
    <dbPr connection="Provider=Microsoft.Mashup.OleDb.1;Data Source=$Workbook$;Location=CTE;Extended Properties=&quot;&quot;" command="SELECT * FROM [CTE]"/>
  </connection>
  <connection id="8" xr16:uid="{797D796F-1288-4279-A5BC-2C42FD67435F}" keepAlive="1" name="Query - CTE Calculations" description="Connection to the 'CTE Calculations' query in the workbook." type="5" refreshedVersion="0" background="1">
    <dbPr connection="Provider=Microsoft.Mashup.OleDb.1;Data Source=$Workbook$;Location=&quot;CTE Calculations&quot;;Extended Properties=&quot;&quot;" command="SELECT * FROM [CTE Calculations]"/>
  </connection>
  <connection id="9" xr16:uid="{A2269265-7A6B-4548-AA1D-F79F2472B4F0}" keepAlive="1" name="Query - Final_Results_CTE" description="Connection to the 'Final_Results_CTE' query in the workbook." type="5" refreshedVersion="0" background="1">
    <dbPr connection="Provider=Microsoft.Mashup.OleDb.1;Data Source=$Workbook$;Location=Final_Results_CTE;Extended Properties=&quot;&quot;" command="SELECT * FROM [Final_Results_CTE]"/>
  </connection>
  <connection id="10" xr16:uid="{600F87DB-E2D1-452E-B7F8-D8DFFA7ED5D5}" keepAlive="1" name="Query - GetNamedRange" description="Connection to the 'GetNamedRange' query in the workbook." type="5" refreshedVersion="0" background="1">
    <dbPr connection="Provider=Microsoft.Mashup.OleDb.1;Data Source=$Workbook$;Location=GetNamedRange;Extended Properties=&quot;&quot;" command="SELECT * FROM [GetNamedRange]"/>
  </connection>
  <connection id="11" xr16:uid="{671A33BE-AD0A-4CBB-B82C-366924571EAF}" keepAlive="1" name="Query - LE_Merge" description="Connection to the 'LE_Merge' query in the workbook." type="5" refreshedVersion="0" background="1">
    <dbPr connection="Provider=Microsoft.Mashup.OleDb.1;Data Source=$Workbook$;Location=LE_Merge;Extended Properties=&quot;&quot;" command="SELECT * FROM [LE_Merge]"/>
  </connection>
  <connection id="12" xr16:uid="{B935E544-0ADC-43F0-907C-560A33B720F7}" keepAlive="1" name="Query - ManualAdjustments" description="Connection to the 'ManualAdjustments' query in the workbook." type="5" refreshedVersion="0" background="1">
    <dbPr connection="Provider=Microsoft.Mashup.OleDb.1;Data Source=$Workbook$;Location=ManualAdjustments;Extended Properties=&quot;&quot;" command="SELECT * FROM [ManualAdjustments]"/>
  </connection>
  <connection id="13" xr16:uid="{CEEE8147-D587-428D-AC3D-F7146A1677D0}" keepAlive="1" name="Query - ManualAdjustmentsLoad" description="Connection to the 'ManualAdjustmentsLoad' query in the workbook." type="5" refreshedVersion="0" background="1">
    <dbPr connection="Provider=Microsoft.Mashup.OleDb.1;Data Source=$Workbook$;Location=ManualAdjustmentsLoad;Extended Properties=&quot;&quot;" command="SELECT * FROM [ManualAdjustmentsLoad]"/>
  </connection>
  <connection id="14" xr16:uid="{E2997999-2910-45E9-A4E5-470BDDCBB948}" keepAlive="1" name="Query - Standalone" description="Connection to the 'Standalone' query in the workbook." type="5" refreshedVersion="0" background="1">
    <dbPr connection="Provider=Microsoft.Mashup.OleDb.1;Data Source=$Workbook$;Location=Standalone;Extended Properties=&quot;&quot;" command="SELECT * FROM [Standalone]"/>
  </connection>
  <connection id="15" xr16:uid="{9CED0BD8-355F-4E4D-968D-29A69048602F}" keepAlive="1" name="Query - TB Legal Entities" description="Connection to the 'TB Legal Entities' query in the workbook." type="5" refreshedVersion="0" background="1">
    <dbPr connection="Provider=Microsoft.Mashup.OleDb.1;Data Source=$Workbook$;Location=&quot;TB Legal Entities&quot;;Extended Properties=&quot;&quot;" command="SELECT * FROM [TB Legal Entities]"/>
  </connection>
  <connection id="16" xr16:uid="{DC7E8F7D-09DE-4373-B3DC-9C457B90C1AC}" keepAlive="1" name="Query - Totals" description="Connection to the 'Totals' query in the workbook." type="5" refreshedVersion="0" background="1">
    <dbPr connection="Provider=Microsoft.Mashup.OleDb.1;Data Source=$Workbook$;Location=Totals;Extended Properties=&quot;&quot;" command="SELECT * FROM [Totals]"/>
  </connection>
</connections>
</file>

<file path=xl/sharedStrings.xml><?xml version="1.0" encoding="utf-8"?>
<sst xmlns="http://schemas.openxmlformats.org/spreadsheetml/2006/main" count="1172" uniqueCount="369">
  <si>
    <t>RSM Tax Provision Chart of Accounts</t>
  </si>
  <si>
    <t>Account Number</t>
  </si>
  <si>
    <t>Schedule</t>
  </si>
  <si>
    <t>Category</t>
  </si>
  <si>
    <t>Current Tax Calculation</t>
  </si>
  <si>
    <t>Income</t>
  </si>
  <si>
    <t>Net Income</t>
  </si>
  <si>
    <t>Late Adjustments</t>
  </si>
  <si>
    <t>Net Income Before Tax</t>
  </si>
  <si>
    <t>Permanent Items</t>
  </si>
  <si>
    <t>Meals &amp; Entertainment</t>
  </si>
  <si>
    <t>Stock Compensation</t>
  </si>
  <si>
    <t>Interest &amp; Penalties</t>
  </si>
  <si>
    <t>Non-deductible Life Ins.</t>
  </si>
  <si>
    <t>Preferred Share Dividends (Interest)</t>
  </si>
  <si>
    <t xml:space="preserve">Warrant FV </t>
  </si>
  <si>
    <t>Warrant FV - remove temp portion</t>
  </si>
  <si>
    <t>Misc - non-deductible</t>
  </si>
  <si>
    <t>Disallowed vehicle lease expenses</t>
  </si>
  <si>
    <t>asdfasdfsa</t>
  </si>
  <si>
    <t>Total Permanent</t>
  </si>
  <si>
    <t>Temporary Items</t>
  </si>
  <si>
    <t>Fixed Assets</t>
  </si>
  <si>
    <t>FA Tax Depreciation</t>
  </si>
  <si>
    <t>Intangible Assets</t>
  </si>
  <si>
    <t>IA Tax Depreciation</t>
  </si>
  <si>
    <t>Leases</t>
  </si>
  <si>
    <t>SRED</t>
  </si>
  <si>
    <t>Pension Expense - Book</t>
  </si>
  <si>
    <t>Accrued Liabilities (General Accruals)</t>
  </si>
  <si>
    <t>Warranty/General Inventory Reserves</t>
  </si>
  <si>
    <t>Unpaid Remuneration (Past 179 days)</t>
  </si>
  <si>
    <t>Allowance for Doubtful Accounts</t>
  </si>
  <si>
    <t>Pension - cash contribution</t>
  </si>
  <si>
    <t>Financing Costs 20(1)(e )</t>
  </si>
  <si>
    <t>Deferred Revenue</t>
  </si>
  <si>
    <t>Accrued Warranty</t>
  </si>
  <si>
    <t>Restructuring Accrual</t>
  </si>
  <si>
    <t>Preferred Share Accretion/Finance Costs</t>
  </si>
  <si>
    <t>Total Temporary</t>
  </si>
  <si>
    <t>Net Operating Losses</t>
  </si>
  <si>
    <t>Loss Carryforward</t>
  </si>
  <si>
    <t>Loss Applied</t>
  </si>
  <si>
    <t>Total Net Operating Losses</t>
  </si>
  <si>
    <t>NIBTP_</t>
  </si>
  <si>
    <t>Net Income for Tax Purposes</t>
  </si>
  <si>
    <t>Taxable Income Adj_</t>
  </si>
  <si>
    <t>Less:  charitable donations</t>
  </si>
  <si>
    <t>Less:  taxable dividends deductible under section 112, 113</t>
  </si>
  <si>
    <t>Less:  Part VI.1 tax deduction</t>
  </si>
  <si>
    <t>Less:  non-capital losses of previous tax years from Schedule 4</t>
  </si>
  <si>
    <t>Less:  net capital loss of previous tax years from Schedule 4</t>
  </si>
  <si>
    <t>Less:  restricted farm losses of previous tax years from Schedule 4</t>
  </si>
  <si>
    <t>Less:  farm losses of previous tax years from Schedule 4</t>
  </si>
  <si>
    <t>Less: others, please specify</t>
  </si>
  <si>
    <t>Total Adjustments</t>
  </si>
  <si>
    <t>Taxable Income_</t>
  </si>
  <si>
    <t>Taxable Income</t>
  </si>
  <si>
    <t>Tax Rate_</t>
  </si>
  <si>
    <t>Federal and agreeing provinces tax rate</t>
  </si>
  <si>
    <t>Tax Expense (Recovery)_</t>
  </si>
  <si>
    <t>Tax Expense (Recovery) - Federal &amp; agreeing prov.</t>
  </si>
  <si>
    <t>Other</t>
  </si>
  <si>
    <t>Federal ITC to be claimed in current year</t>
  </si>
  <si>
    <t>ORDTC claimed</t>
  </si>
  <si>
    <t>ONT M&amp;P</t>
  </si>
  <si>
    <t>Newfoundland M&amp;P</t>
  </si>
  <si>
    <t>Ontario OITC</t>
  </si>
  <si>
    <t>Other provincial credits</t>
  </si>
  <si>
    <t>Ontario Co-Op Credit</t>
  </si>
  <si>
    <t>Total Other</t>
  </si>
  <si>
    <t>Current Tax Expense_</t>
  </si>
  <si>
    <t>Net Current Tax Expense (Recovery)</t>
  </si>
  <si>
    <t>Net Current Tax Expense (Recovery) - per G/L</t>
  </si>
  <si>
    <t>Difference</t>
  </si>
  <si>
    <t>Deferred Tax Continuity</t>
  </si>
  <si>
    <t>Balance Sheet Items</t>
  </si>
  <si>
    <t>Non-capital Losses</t>
  </si>
  <si>
    <t>Intellectual Property (IP)</t>
  </si>
  <si>
    <t>Contingent Liability</t>
  </si>
  <si>
    <t>SRED Pool</t>
  </si>
  <si>
    <t>SRED ITCs</t>
  </si>
  <si>
    <t>Financing Costs</t>
  </si>
  <si>
    <t>Upstream Loans</t>
  </si>
  <si>
    <t>Accounting Costs - Amortized</t>
  </si>
  <si>
    <t>Capital Losses</t>
  </si>
  <si>
    <t>Donations</t>
  </si>
  <si>
    <t>Total Gross Items</t>
  </si>
  <si>
    <t>Tax Pools</t>
  </si>
  <si>
    <t>Share issuance costs - 20(1)(e )</t>
  </si>
  <si>
    <t>Non-capital losses carried forward</t>
  </si>
  <si>
    <t>Capital losses carried forward</t>
  </si>
  <si>
    <t>Investment Tax Credits from schedule 31</t>
  </si>
  <si>
    <t>SR&amp;ED Pool from T661</t>
  </si>
  <si>
    <t>Minimum Tax Carryforward Credit</t>
  </si>
  <si>
    <t>Charitable donations carryforward</t>
  </si>
  <si>
    <t>Total Tax Pools</t>
  </si>
  <si>
    <t>Total Gross_</t>
  </si>
  <si>
    <t>Total Gross</t>
  </si>
  <si>
    <t>Tax Credits</t>
  </si>
  <si>
    <t>Federal ITCs</t>
  </si>
  <si>
    <t>Total Tax Credits</t>
  </si>
  <si>
    <t>Other True-up Entries</t>
  </si>
  <si>
    <t>Other Tax True-Ups</t>
  </si>
  <si>
    <t>Total Other True-up Entries</t>
  </si>
  <si>
    <t>Total Net_</t>
  </si>
  <si>
    <t>Total Net</t>
  </si>
  <si>
    <t>Total DTA/DTL</t>
  </si>
  <si>
    <t>Deferred Tax Asset (Liability)</t>
  </si>
  <si>
    <t>Account Description</t>
  </si>
  <si>
    <t>Client's TB Corresponding Account number</t>
  </si>
  <si>
    <t>10001CLIENT</t>
  </si>
  <si>
    <t>10002CLIENT</t>
  </si>
  <si>
    <t>10999CLIENT</t>
  </si>
  <si>
    <t>11001CLIENT</t>
  </si>
  <si>
    <t>11002CLIENT</t>
  </si>
  <si>
    <t>11003CLIENT</t>
  </si>
  <si>
    <t>11004CLIENT</t>
  </si>
  <si>
    <t>11005CLIENT</t>
  </si>
  <si>
    <t>11006CLIENT</t>
  </si>
  <si>
    <t>11007CLIENT</t>
  </si>
  <si>
    <t>11008CLIENT</t>
  </si>
  <si>
    <t>11009CLIENT</t>
  </si>
  <si>
    <t>11010CLIENT</t>
  </si>
  <si>
    <t>11999CLIENT</t>
  </si>
  <si>
    <t>12001CLIENT</t>
  </si>
  <si>
    <t>12002CLIENT</t>
  </si>
  <si>
    <t>12003CLIENT</t>
  </si>
  <si>
    <t>12004CLIENT</t>
  </si>
  <si>
    <t>12005CLIENT</t>
  </si>
  <si>
    <t>12006CLIENT</t>
  </si>
  <si>
    <t>12007CLIENT</t>
  </si>
  <si>
    <t>12008CLIENT</t>
  </si>
  <si>
    <t>12009CLIENT</t>
  </si>
  <si>
    <t>12010CLIENT</t>
  </si>
  <si>
    <t>12011CLIENT</t>
  </si>
  <si>
    <t>12012CLIENT</t>
  </si>
  <si>
    <t>12013CLIENT</t>
  </si>
  <si>
    <t>12014CLIENT</t>
  </si>
  <si>
    <t>12015CLIENT</t>
  </si>
  <si>
    <t>12016CLIENT</t>
  </si>
  <si>
    <t>12017CLIENT</t>
  </si>
  <si>
    <t>12999CLIENT</t>
  </si>
  <si>
    <t>13001CLIENT</t>
  </si>
  <si>
    <t>13002CLIENT</t>
  </si>
  <si>
    <t>13010CLIENT</t>
  </si>
  <si>
    <t>13100CLIENT</t>
  </si>
  <si>
    <t>13201CLIENT</t>
  </si>
  <si>
    <t>13202CLIENT</t>
  </si>
  <si>
    <t>13203CLIENT</t>
  </si>
  <si>
    <t>13204CLIENT</t>
  </si>
  <si>
    <t>13205CLIENT</t>
  </si>
  <si>
    <t>13206CLIENT</t>
  </si>
  <si>
    <t>13207CLIENT</t>
  </si>
  <si>
    <t>13208CLIENT</t>
  </si>
  <si>
    <t>13299CLIENT</t>
  </si>
  <si>
    <t>13300CLIENT</t>
  </si>
  <si>
    <t>13301CLIENT</t>
  </si>
  <si>
    <t>13302CLIENT</t>
  </si>
  <si>
    <t>13401CLIENT</t>
  </si>
  <si>
    <t>13402CLIENT</t>
  </si>
  <si>
    <t>13403CLIENT</t>
  </si>
  <si>
    <t>13404CLIENT</t>
  </si>
  <si>
    <t>13405CLIENT</t>
  </si>
  <si>
    <t>13406CLIENT</t>
  </si>
  <si>
    <t>13407CLIENT</t>
  </si>
  <si>
    <t>13499CLIENT</t>
  </si>
  <si>
    <t>13500CLIENT</t>
  </si>
  <si>
    <t>13501CLIENT</t>
  </si>
  <si>
    <t>13502CLIENT</t>
  </si>
  <si>
    <t>14001CLIENT</t>
  </si>
  <si>
    <t>14002CLIENT</t>
  </si>
  <si>
    <t>14003CLIENT</t>
  </si>
  <si>
    <t>14004CLIENT</t>
  </si>
  <si>
    <t>14005CLIENT</t>
  </si>
  <si>
    <t>14006CLIENT</t>
  </si>
  <si>
    <t>14007CLIENT</t>
  </si>
  <si>
    <t>14008CLIENT</t>
  </si>
  <si>
    <t>14009CLIENT</t>
  </si>
  <si>
    <t>14010CLIENT</t>
  </si>
  <si>
    <t>14011CLIENT</t>
  </si>
  <si>
    <t>14012CLIENT</t>
  </si>
  <si>
    <t>14013CLIENT</t>
  </si>
  <si>
    <t>14014CLIENT</t>
  </si>
  <si>
    <t>14015CLIENT</t>
  </si>
  <si>
    <t>14099CLIENT</t>
  </si>
  <si>
    <t>14101CLIENT</t>
  </si>
  <si>
    <t>14102CLIENT</t>
  </si>
  <si>
    <t>14103CLIENT</t>
  </si>
  <si>
    <t>14104CLIENT</t>
  </si>
  <si>
    <t>14105CLIENT</t>
  </si>
  <si>
    <t>14106CLIENT</t>
  </si>
  <si>
    <t>14107CLIENT</t>
  </si>
  <si>
    <t>14199CLIENT</t>
  </si>
  <si>
    <t>14200CLIENT</t>
  </si>
  <si>
    <t>14201CLIENT</t>
  </si>
  <si>
    <t>14299CLIENT</t>
  </si>
  <si>
    <t>14301CLIENT</t>
  </si>
  <si>
    <t>14399CLIENT</t>
  </si>
  <si>
    <t>14400CLIENT</t>
  </si>
  <si>
    <t>14401CLIENT</t>
  </si>
  <si>
    <t>Current year</t>
  </si>
  <si>
    <t>Prior year</t>
  </si>
  <si>
    <t>Manual Adjustment
Current  year</t>
  </si>
  <si>
    <t>Manual Adjustment
Prior year</t>
  </si>
  <si>
    <t>Column5</t>
  </si>
  <si>
    <t xml:space="preserve">Current year account ending balance </t>
  </si>
  <si>
    <t xml:space="preserve">Prior year account ending balance </t>
  </si>
  <si>
    <t>Account Number2</t>
  </si>
  <si>
    <t>Account Description3</t>
  </si>
  <si>
    <t>Column</t>
  </si>
  <si>
    <t>Sample Client Net Income TB</t>
  </si>
  <si>
    <t>Sample Client Late Adjustments TB</t>
  </si>
  <si>
    <t>Sample Client Net Income Before Tax TB</t>
  </si>
  <si>
    <t>Sample Client Meals &amp; Entertainment TB</t>
  </si>
  <si>
    <t>Sample Client Stock Compensation TB</t>
  </si>
  <si>
    <t>Sample Client Interest &amp; Penalties TB</t>
  </si>
  <si>
    <t>Sample Client Non-deductible Life Ins. TB</t>
  </si>
  <si>
    <t>Sample Client Preferred Share Dividends (Interest) TB</t>
  </si>
  <si>
    <t>Sample Client Warrant FV  TB</t>
  </si>
  <si>
    <t>Sample Client Warrant FV - remove temp portion TB</t>
  </si>
  <si>
    <t>Sample Client Misc - non-deductible TB</t>
  </si>
  <si>
    <t>Sample Client Disallowed vehicle lease expenses TB</t>
  </si>
  <si>
    <t>Sample Client asdfasdfsa TB</t>
  </si>
  <si>
    <t>Sample Client Total Permanent TB</t>
  </si>
  <si>
    <t>Sample Client Fixed Assets TB</t>
  </si>
  <si>
    <t>Sample Client FA Tax Depreciation TB</t>
  </si>
  <si>
    <t>Sample Client Intangible Assets TB</t>
  </si>
  <si>
    <t>Sample Client IA Tax Depreciation TB</t>
  </si>
  <si>
    <t>Sample Client Leases TB</t>
  </si>
  <si>
    <t>Sample Client SRED TB</t>
  </si>
  <si>
    <t>Sample Client Pension Expense - Book TB</t>
  </si>
  <si>
    <t>Sample Client Accrued Liabilities (General Accruals) TB</t>
  </si>
  <si>
    <t>Sample Client Warranty/General Inventory Reserves TB</t>
  </si>
  <si>
    <t>Sample Client Unpaid Remuneration (Past 179 days) TB</t>
  </si>
  <si>
    <t>Sample Client Allowance for Doubtful Accounts TB</t>
  </si>
  <si>
    <t>Sample Client Pension - cash contribution TB</t>
  </si>
  <si>
    <t>Sample Client Financing Costs 20(1)(e ) TB</t>
  </si>
  <si>
    <t>Sample Client Deferred Revenue TB</t>
  </si>
  <si>
    <t>Sample Client Accrued Warranty TB</t>
  </si>
  <si>
    <t>Sample Client Restructuring Accrual TB</t>
  </si>
  <si>
    <t>Sample Client Preferred Share Accretion/Finance Costs TB</t>
  </si>
  <si>
    <t>Sample Client Total Temporary TB</t>
  </si>
  <si>
    <t>Sample Client Loss Carryforward TB</t>
  </si>
  <si>
    <t>Sample Client Loss Applied TB</t>
  </si>
  <si>
    <t>Sample Client Total Net Operating Losses TB</t>
  </si>
  <si>
    <t>Sample Client Net Income for Tax Purposes TB</t>
  </si>
  <si>
    <t>Sample Client Less:  charitable donations TB</t>
  </si>
  <si>
    <t>Sample Client Less:  taxable dividends deductible under section 112, 113 TB</t>
  </si>
  <si>
    <t>Sample Client Less:  Part VI.1 tax deduction TB</t>
  </si>
  <si>
    <t>Sample Client Less:  non-capital losses of previous tax years from Schedule 4 TB</t>
  </si>
  <si>
    <t>Sample Client Less:  net capital loss of previous tax years from Schedule 4 TB</t>
  </si>
  <si>
    <t>Sample Client Less:  restricted farm losses of previous tax years from Schedule 4 TB</t>
  </si>
  <si>
    <t>Sample Client Less:  farm losses of previous tax years from Schedule 4 TB</t>
  </si>
  <si>
    <t>Sample Client Less: others, please specify TB</t>
  </si>
  <si>
    <t>Sample Client Total Adjustments TB</t>
  </si>
  <si>
    <t>Sample Client Taxable Income TB</t>
  </si>
  <si>
    <t>Sample Client Federal and agreeing provinces tax rate TB</t>
  </si>
  <si>
    <t>Sample Client Tax Expense (Recovery) - Federal &amp; agreeing prov. TB</t>
  </si>
  <si>
    <t>Sample Client Federal ITC to be claimed in current year TB</t>
  </si>
  <si>
    <t>Sample Client ORDTC claimed TB</t>
  </si>
  <si>
    <t>Sample Client ONT M&amp;P TB</t>
  </si>
  <si>
    <t>Sample Client Newfoundland M&amp;P TB</t>
  </si>
  <si>
    <t>Sample Client Ontario OITC TB</t>
  </si>
  <si>
    <t>Sample Client Other provincial credits TB</t>
  </si>
  <si>
    <t>Sample Client Ontario Co-Op Credit TB</t>
  </si>
  <si>
    <t>Sample Client Total Other TB</t>
  </si>
  <si>
    <t>Sample Client Net Current Tax Expense (Recovery) TB</t>
  </si>
  <si>
    <t>Sample Client Net Current Tax Expense (Recovery) - per G/L TB</t>
  </si>
  <si>
    <t>Sample Client Difference TB</t>
  </si>
  <si>
    <t>Sample Client Non-capital Losses TB</t>
  </si>
  <si>
    <t>Sample Client Intellectual Property (IP) TB</t>
  </si>
  <si>
    <t>Sample Client Contingent Liability TB</t>
  </si>
  <si>
    <t>Sample Client SRED Pool TB</t>
  </si>
  <si>
    <t>Sample Client SRED ITCs TB</t>
  </si>
  <si>
    <t>Sample Client Financing Costs TB</t>
  </si>
  <si>
    <t>Sample Client Upstream Loans TB</t>
  </si>
  <si>
    <t>Sample Client Accounting Costs - Amortized TB</t>
  </si>
  <si>
    <t>Sample Client Capital Losses TB</t>
  </si>
  <si>
    <t>Sample Client Donations TB</t>
  </si>
  <si>
    <t>Sample Client Total Gross Items TB</t>
  </si>
  <si>
    <t>Sample Client Share issuance costs - 20(1)(e ) TB</t>
  </si>
  <si>
    <t>Sample Client Non-capital losses carried forward TB</t>
  </si>
  <si>
    <t>Sample Client Capital losses carried forward TB</t>
  </si>
  <si>
    <t>Sample Client Investment Tax Credits from schedule 31 TB</t>
  </si>
  <si>
    <t>Sample Client SR&amp;ED Pool from T661 TB</t>
  </si>
  <si>
    <t>Sample Client Minimum Tax Carryforward Credit TB</t>
  </si>
  <si>
    <t>Sample Client Charitable donations carryforward TB</t>
  </si>
  <si>
    <t>Sample Client Total Tax Pools TB</t>
  </si>
  <si>
    <t>Sample Client Total Gross TB</t>
  </si>
  <si>
    <t>Sample Client Federal ITCs TB</t>
  </si>
  <si>
    <t>Sample Client Total Tax Credits TB</t>
  </si>
  <si>
    <t>Sample Client Other Tax True-Ups TB</t>
  </si>
  <si>
    <t>Sample Client Total Other True-up Entries TB</t>
  </si>
  <si>
    <t>Sample Client Total Net TB</t>
  </si>
  <si>
    <t>Sample Client Deferred Tax Asset (Liability) TB</t>
  </si>
  <si>
    <t>CURRENT TAX CALCULATION</t>
  </si>
  <si>
    <t>ENTER MANUAL ADJUSTMENTS</t>
  </si>
  <si>
    <t>Total</t>
  </si>
  <si>
    <t>Input Adjustment</t>
  </si>
  <si>
    <t>Comments about adjustment</t>
  </si>
  <si>
    <t>Gross Rates</t>
  </si>
  <si>
    <t>Proportionate Rates</t>
  </si>
  <si>
    <t>Jurisdiction</t>
  </si>
  <si>
    <t>Allocation</t>
  </si>
  <si>
    <t>M&amp;P</t>
  </si>
  <si>
    <t>Average</t>
  </si>
  <si>
    <t>Federal</t>
  </si>
  <si>
    <t>NL - General</t>
  </si>
  <si>
    <t>NL - M&amp;P</t>
  </si>
  <si>
    <t>PE</t>
  </si>
  <si>
    <t>NS</t>
  </si>
  <si>
    <t>NB</t>
  </si>
  <si>
    <t>QC</t>
  </si>
  <si>
    <t>ON - General</t>
  </si>
  <si>
    <t>ON - M&amp;P</t>
  </si>
  <si>
    <t>MB</t>
  </si>
  <si>
    <t>SK - General</t>
  </si>
  <si>
    <t>SK - M&amp;P</t>
  </si>
  <si>
    <t>AB</t>
  </si>
  <si>
    <t>BC</t>
  </si>
  <si>
    <t>YT - General</t>
  </si>
  <si>
    <t>YT - M&amp;P</t>
  </si>
  <si>
    <t>NT</t>
  </si>
  <si>
    <t>NU</t>
  </si>
  <si>
    <t>Foreign</t>
  </si>
  <si>
    <t>Federal and Agreeing Provinces</t>
  </si>
  <si>
    <t>From T2 Schedule 5</t>
  </si>
  <si>
    <t>Revenues</t>
  </si>
  <si>
    <t>%</t>
  </si>
  <si>
    <t>Salaries</t>
  </si>
  <si>
    <t>Total %</t>
  </si>
  <si>
    <t>Ontario Rate</t>
  </si>
  <si>
    <t>T2, Sch5</t>
  </si>
  <si>
    <t>Quebec Rate</t>
  </si>
  <si>
    <t>Manitoba Rate</t>
  </si>
  <si>
    <t>B.C. Rate</t>
  </si>
  <si>
    <t>Alberta Rate</t>
  </si>
  <si>
    <t>Nova Scotia Rate</t>
  </si>
  <si>
    <t>Newfld Rate</t>
  </si>
  <si>
    <t>NB Rate</t>
  </si>
  <si>
    <t>Net Current Tax Expense (Recovery) - Calculated (per numbers above)</t>
  </si>
  <si>
    <t>Per RSM Chart of Accounts</t>
  </si>
  <si>
    <t>RSM Account Number</t>
  </si>
  <si>
    <t>Per PY RSM Chart of Accounts TB</t>
  </si>
  <si>
    <t>Per PY RSM Chart of Accounts Manual adjustment</t>
  </si>
  <si>
    <t>PRIOR YEAR PROVISION</t>
  </si>
  <si>
    <t>PRIOR YEAR TAX RETURN</t>
  </si>
  <si>
    <t>Per Prior year tax return</t>
  </si>
  <si>
    <t>Schedule reference</t>
  </si>
  <si>
    <t>RETURN TO PROVISION</t>
  </si>
  <si>
    <t>RSM Account Description</t>
  </si>
  <si>
    <t>Accounting value</t>
  </si>
  <si>
    <t>Tax value</t>
  </si>
  <si>
    <t>Temporary differences - Deductible(Taxable)</t>
  </si>
  <si>
    <t>Tax rate</t>
  </si>
  <si>
    <t>Asset</t>
  </si>
  <si>
    <t>Liability</t>
  </si>
  <si>
    <t>Deferred Tax (IFRS)/Future Income Tax (ASPE)</t>
  </si>
  <si>
    <t>Opening Balance (Prior year closing)</t>
  </si>
  <si>
    <t>Current year closing</t>
  </si>
  <si>
    <t>Changes in Temporary Differences - Deductible/(Taxable)</t>
  </si>
  <si>
    <t>Changes in Future Taxes - Expense (Recovery)</t>
  </si>
  <si>
    <t>Impact of changes in Tax Rates - Expense (Recovery)</t>
  </si>
  <si>
    <t>Adjustment</t>
  </si>
  <si>
    <t>Period</t>
  </si>
  <si>
    <t>Item</t>
  </si>
  <si>
    <t>Comment</t>
  </si>
  <si>
    <t>Future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</si>
</sst>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(* #,##0.00_);_(* \(#,##0.00\);_(* &quot;-&quot;??_);_(@_)"/>
    <numFmt numFmtId="166" formatCode="_(* #,##0_);_(* \(#,##0\);_(* &quot;-&quot;??_);_(@_)"/>
    <numFmt numFmtId="167" formatCode="0.000000000"/>
    <numFmt numFmtId="168" formatCode="_(* #,##0.0_);_(* \(#,##0.0\);_(* &quot;-&quot;??_);_(@_)"/>
    <numFmt numFmtId="170" formatCode="_(* #,##0.000_);_(* \(#,##0.0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vertAlign val="superscript"/>
      <sz val="10"/>
      <name val="Times New Roman"/>
      <family val="1"/>
    </font>
    <font>
      <sz val="10"/>
      <name val="Times New Roman"/>
      <family val="1"/>
    </font>
    <font>
      <b/>
      <u/>
      <sz val="10"/>
      <name val="Arial"/>
      <family val="2"/>
    </font>
    <font>
      <u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lightDown">
        <bgColor indexed="31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0" fillId="0" borderId="2" xfId="0" applyBorder="1"/>
    <xf numFmtId="0" fontId="2" fillId="0" borderId="2" xfId="0" applyFont="1" applyBorder="1"/>
    <xf numFmtId="0" fontId="5" fillId="0" borderId="2" xfId="0" applyFont="1" applyBorder="1"/>
    <xf numFmtId="0" fontId="6" fillId="0" borderId="2" xfId="0" applyFont="1" applyBorder="1"/>
    <xf numFmtId="0" fontId="2" fillId="0" borderId="6" xfId="0" applyFont="1" applyBorder="1"/>
    <xf numFmtId="0" fontId="0" fillId="0" borderId="4" xfId="0" applyBorder="1"/>
    <xf numFmtId="0" fontId="3" fillId="0" borderId="9" xfId="0" applyFont="1" applyBorder="1" applyAlignment="1">
      <alignment horizontal="center" vertical="center" wrapText="1"/>
    </xf>
    <xf numFmtId="164" fontId="0" fillId="0" borderId="0" xfId="0" applyNumberFormat="1"/>
    <xf numFmtId="49" fontId="0" fillId="0" borderId="2" xfId="0" applyNumberFormat="1" applyBorder="1"/>
    <xf numFmtId="0" fontId="3" fillId="0" borderId="1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11" fillId="0" borderId="0" xfId="0" applyFont="1"/>
    <xf numFmtId="0" fontId="0" fillId="0" borderId="0" xfId="0" applyProtection="1">
      <protection locked="0"/>
    </xf>
    <xf numFmtId="0" fontId="0" fillId="0" borderId="4" xfId="1" applyNumberFormat="1" applyFont="1" applyBorder="1"/>
    <xf numFmtId="0" fontId="0" fillId="0" borderId="4" xfId="1" applyNumberFormat="1" applyFont="1" applyBorder="1" applyProtection="1"/>
    <xf numFmtId="1" fontId="0" fillId="0" borderId="3" xfId="0" applyNumberFormat="1" applyBorder="1" applyAlignment="1" applyProtection="1">
      <alignment horizontal="left"/>
    </xf>
    <xf numFmtId="1" fontId="0" fillId="0" borderId="5" xfId="0" applyNumberFormat="1" applyBorder="1" applyAlignment="1">
      <alignment horizontal="left"/>
    </xf>
    <xf numFmtId="1" fontId="2" fillId="0" borderId="5" xfId="0" applyNumberFormat="1" applyFont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0" fillId="0" borderId="2" xfId="1" applyNumberFormat="1" applyFont="1" applyBorder="1" applyProtection="1">
      <protection locked="0"/>
    </xf>
    <xf numFmtId="0" fontId="10" fillId="0" borderId="14" xfId="0" applyFont="1" applyBorder="1" applyAlignment="1">
      <alignment horizontal="center" vertical="center" wrapText="1"/>
    </xf>
    <xf numFmtId="49" fontId="0" fillId="0" borderId="2" xfId="1" applyNumberFormat="1" applyFont="1" applyBorder="1"/>
    <xf numFmtId="164" fontId="0" fillId="0" borderId="2" xfId="0" applyNumberFormat="1" applyBorder="1"/>
    <xf numFmtId="0" fontId="0" fillId="0" borderId="0" xfId="0" applyNumberFormat="1" applyProtection="1">
      <protection locked="0"/>
    </xf>
    <xf numFmtId="43" fontId="0" fillId="0" borderId="0" xfId="2" applyFont="1"/>
    <xf numFmtId="43" fontId="2" fillId="0" borderId="0" xfId="2" applyFont="1" applyAlignment="1">
      <alignment horizontal="center"/>
    </xf>
    <xf numFmtId="165" fontId="1" fillId="0" borderId="0" xfId="2" applyNumberFormat="1" applyFont="1" applyFill="1" applyBorder="1"/>
    <xf numFmtId="165" fontId="1" fillId="0" borderId="0" xfId="2" applyNumberFormat="1" applyFont="1" applyBorder="1"/>
    <xf numFmtId="165" fontId="1" fillId="0" borderId="0" xfId="0" applyNumberFormat="1" applyFont="1"/>
    <xf numFmtId="165" fontId="0" fillId="0" borderId="0" xfId="0" applyNumberFormat="1"/>
    <xf numFmtId="0" fontId="0" fillId="0" borderId="15" xfId="0" applyBorder="1"/>
    <xf numFmtId="165" fontId="1" fillId="0" borderId="15" xfId="2" applyNumberFormat="1" applyFont="1" applyFill="1" applyBorder="1"/>
    <xf numFmtId="165" fontId="1" fillId="0" borderId="15" xfId="2" applyNumberFormat="1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/>
    <xf numFmtId="0" fontId="13" fillId="0" borderId="0" xfId="3"/>
    <xf numFmtId="0" fontId="14" fillId="0" borderId="0" xfId="3" applyFont="1"/>
    <xf numFmtId="0" fontId="14" fillId="0" borderId="0" xfId="3" applyFont="1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/>
    <xf numFmtId="0" fontId="13" fillId="0" borderId="18" xfId="3" applyBorder="1"/>
    <xf numFmtId="0" fontId="13" fillId="0" borderId="0" xfId="3" applyAlignment="1">
      <alignment wrapText="1"/>
    </xf>
    <xf numFmtId="0" fontId="13" fillId="0" borderId="12" xfId="3" applyBorder="1"/>
    <xf numFmtId="0" fontId="13" fillId="0" borderId="12" xfId="3" applyBorder="1" applyAlignment="1">
      <alignment horizontal="center"/>
    </xf>
    <xf numFmtId="0" fontId="13" fillId="0" borderId="19" xfId="3" applyBorder="1" applyAlignment="1">
      <alignment horizontal="center"/>
    </xf>
    <xf numFmtId="0" fontId="13" fillId="0" borderId="20" xfId="3" applyBorder="1" applyAlignment="1">
      <alignment horizontal="center"/>
    </xf>
    <xf numFmtId="0" fontId="13" fillId="0" borderId="21" xfId="3" applyBorder="1" applyAlignment="1">
      <alignment horizontal="center"/>
    </xf>
    <xf numFmtId="0" fontId="13" fillId="0" borderId="22" xfId="3" applyBorder="1" applyAlignment="1">
      <alignment horizontal="center"/>
    </xf>
    <xf numFmtId="0" fontId="5" fillId="0" borderId="0" xfId="3" applyFont="1"/>
    <xf numFmtId="10" fontId="0" fillId="0" borderId="0" xfId="5" applyNumberFormat="1" applyFont="1"/>
    <xf numFmtId="0" fontId="13" fillId="2" borderId="0" xfId="3" applyFill="1"/>
    <xf numFmtId="10" fontId="0" fillId="3" borderId="23" xfId="5" applyNumberFormat="1" applyFont="1" applyFill="1" applyBorder="1"/>
    <xf numFmtId="10" fontId="0" fillId="3" borderId="13" xfId="5" applyNumberFormat="1" applyFont="1" applyFill="1" applyBorder="1"/>
    <xf numFmtId="10" fontId="13" fillId="0" borderId="24" xfId="5" applyNumberFormat="1" applyFont="1" applyFill="1" applyBorder="1"/>
    <xf numFmtId="10" fontId="0" fillId="0" borderId="0" xfId="5" applyNumberFormat="1" applyFont="1" applyBorder="1"/>
    <xf numFmtId="10" fontId="0" fillId="0" borderId="25" xfId="5" applyNumberFormat="1" applyFont="1" applyBorder="1"/>
    <xf numFmtId="10" fontId="0" fillId="0" borderId="0" xfId="5" applyNumberFormat="1" applyFont="1" applyFill="1" applyBorder="1"/>
    <xf numFmtId="10" fontId="0" fillId="3" borderId="0" xfId="5" applyNumberFormat="1" applyFont="1" applyFill="1"/>
    <xf numFmtId="10" fontId="0" fillId="3" borderId="26" xfId="5" applyNumberFormat="1" applyFont="1" applyFill="1" applyBorder="1"/>
    <xf numFmtId="10" fontId="0" fillId="3" borderId="11" xfId="5" applyNumberFormat="1" applyFont="1" applyFill="1" applyBorder="1"/>
    <xf numFmtId="10" fontId="0" fillId="3" borderId="14" xfId="5" applyNumberFormat="1" applyFont="1" applyFill="1" applyBorder="1"/>
    <xf numFmtId="10" fontId="13" fillId="0" borderId="26" xfId="5" applyNumberFormat="1" applyFont="1" applyFill="1" applyBorder="1"/>
    <xf numFmtId="10" fontId="13" fillId="0" borderId="0" xfId="5" applyNumberFormat="1" applyFont="1" applyFill="1" applyBorder="1"/>
    <xf numFmtId="4" fontId="13" fillId="0" borderId="0" xfId="5" applyNumberFormat="1" applyFont="1" applyFill="1" applyBorder="1"/>
    <xf numFmtId="10" fontId="13" fillId="0" borderId="0" xfId="5" applyNumberFormat="1" applyFont="1"/>
    <xf numFmtId="10" fontId="13" fillId="3" borderId="23" xfId="5" applyNumberFormat="1" applyFont="1" applyFill="1" applyBorder="1"/>
    <xf numFmtId="10" fontId="0" fillId="4" borderId="0" xfId="5" applyNumberFormat="1" applyFont="1" applyFill="1"/>
    <xf numFmtId="10" fontId="0" fillId="0" borderId="12" xfId="5" applyNumberFormat="1" applyFont="1" applyBorder="1"/>
    <xf numFmtId="10" fontId="13" fillId="3" borderId="27" xfId="5" applyNumberFormat="1" applyFont="1" applyFill="1" applyBorder="1"/>
    <xf numFmtId="10" fontId="0" fillId="3" borderId="3" xfId="5" applyNumberFormat="1" applyFont="1" applyFill="1" applyBorder="1"/>
    <xf numFmtId="10" fontId="0" fillId="3" borderId="22" xfId="5" applyNumberFormat="1" applyFont="1" applyFill="1" applyBorder="1"/>
    <xf numFmtId="10" fontId="0" fillId="0" borderId="21" xfId="5" applyNumberFormat="1" applyFont="1" applyBorder="1"/>
    <xf numFmtId="0" fontId="13" fillId="0" borderId="22" xfId="3" applyBorder="1"/>
    <xf numFmtId="0" fontId="13" fillId="0" borderId="26" xfId="3" applyBorder="1"/>
    <xf numFmtId="0" fontId="13" fillId="0" borderId="25" xfId="3" applyBorder="1"/>
    <xf numFmtId="10" fontId="13" fillId="0" borderId="28" xfId="3" applyNumberFormat="1" applyBorder="1"/>
    <xf numFmtId="0" fontId="13" fillId="0" borderId="29" xfId="3" applyBorder="1"/>
    <xf numFmtId="0" fontId="13" fillId="0" borderId="30" xfId="3" applyBorder="1"/>
    <xf numFmtId="10" fontId="0" fillId="0" borderId="30" xfId="5" applyNumberFormat="1" applyFont="1" applyBorder="1"/>
    <xf numFmtId="10" fontId="0" fillId="0" borderId="31" xfId="5" applyNumberFormat="1" applyFont="1" applyBorder="1"/>
    <xf numFmtId="10" fontId="5" fillId="0" borderId="0" xfId="5" applyNumberFormat="1" applyFont="1" applyFill="1" applyBorder="1"/>
    <xf numFmtId="0" fontId="13" fillId="0" borderId="0" xfId="3" applyAlignment="1">
      <alignment horizontal="right"/>
    </xf>
    <xf numFmtId="167" fontId="13" fillId="0" borderId="0" xfId="3" applyNumberFormat="1"/>
    <xf numFmtId="0" fontId="15" fillId="0" borderId="0" xfId="3" applyFont="1"/>
    <xf numFmtId="0" fontId="16" fillId="0" borderId="0" xfId="3" applyFont="1"/>
    <xf numFmtId="0" fontId="17" fillId="0" borderId="0" xfId="3" applyFont="1" applyAlignment="1">
      <alignment horizontal="center" wrapText="1"/>
    </xf>
    <xf numFmtId="0" fontId="17" fillId="0" borderId="32" xfId="3" applyFont="1" applyBorder="1" applyAlignment="1">
      <alignment horizontal="center"/>
    </xf>
    <xf numFmtId="0" fontId="18" fillId="0" borderId="33" xfId="3" applyFont="1" applyBorder="1" applyAlignment="1">
      <alignment horizontal="center"/>
    </xf>
    <xf numFmtId="0" fontId="17" fillId="0" borderId="33" xfId="3" applyFont="1" applyBorder="1" applyAlignment="1">
      <alignment horizontal="center"/>
    </xf>
    <xf numFmtId="0" fontId="17" fillId="0" borderId="34" xfId="3" applyFont="1" applyBorder="1" applyAlignment="1">
      <alignment horizontal="center"/>
    </xf>
    <xf numFmtId="0" fontId="17" fillId="0" borderId="0" xfId="3" applyFont="1" applyAlignment="1">
      <alignment horizontal="center"/>
    </xf>
    <xf numFmtId="9" fontId="17" fillId="0" borderId="0" xfId="3" applyNumberFormat="1" applyFont="1" applyAlignment="1">
      <alignment horizontal="center" wrapText="1"/>
    </xf>
    <xf numFmtId="10" fontId="5" fillId="0" borderId="0" xfId="3" applyNumberFormat="1" applyFont="1"/>
    <xf numFmtId="10" fontId="13" fillId="0" borderId="26" xfId="3" applyNumberFormat="1" applyBorder="1"/>
    <xf numFmtId="10" fontId="13" fillId="0" borderId="0" xfId="3" applyNumberFormat="1"/>
    <xf numFmtId="10" fontId="13" fillId="0" borderId="25" xfId="3" applyNumberFormat="1" applyBorder="1"/>
    <xf numFmtId="0" fontId="13" fillId="0" borderId="0" xfId="3" applyAlignment="1">
      <alignment horizontal="left" wrapText="1"/>
    </xf>
    <xf numFmtId="3" fontId="13" fillId="3" borderId="26" xfId="3" applyNumberFormat="1" applyFill="1" applyBorder="1"/>
    <xf numFmtId="9" fontId="13" fillId="3" borderId="0" xfId="5" applyFill="1" applyBorder="1"/>
    <xf numFmtId="166" fontId="13" fillId="3" borderId="11" xfId="4" applyNumberFormat="1" applyFill="1" applyBorder="1"/>
    <xf numFmtId="10" fontId="13" fillId="0" borderId="0" xfId="5" applyNumberFormat="1" applyFill="1" applyBorder="1"/>
    <xf numFmtId="10" fontId="5" fillId="0" borderId="25" xfId="5" applyNumberFormat="1" applyFont="1" applyFill="1" applyBorder="1"/>
    <xf numFmtId="10" fontId="14" fillId="0" borderId="0" xfId="5" applyNumberFormat="1" applyFont="1" applyFill="1" applyBorder="1"/>
    <xf numFmtId="166" fontId="0" fillId="0" borderId="0" xfId="4" applyNumberFormat="1" applyFont="1" applyFill="1" applyBorder="1"/>
    <xf numFmtId="166" fontId="0" fillId="0" borderId="0" xfId="4" applyNumberFormat="1" applyFont="1" applyBorder="1"/>
    <xf numFmtId="166" fontId="13" fillId="0" borderId="0" xfId="3" applyNumberFormat="1"/>
    <xf numFmtId="168" fontId="0" fillId="3" borderId="26" xfId="4" applyNumberFormat="1" applyFont="1" applyFill="1" applyBorder="1"/>
    <xf numFmtId="168" fontId="13" fillId="3" borderId="0" xfId="4" applyNumberFormat="1" applyFill="1" applyBorder="1"/>
    <xf numFmtId="168" fontId="0" fillId="3" borderId="0" xfId="4" applyNumberFormat="1" applyFont="1" applyFill="1" applyBorder="1"/>
    <xf numFmtId="168" fontId="13" fillId="3" borderId="21" xfId="4" applyNumberFormat="1" applyFill="1" applyBorder="1"/>
    <xf numFmtId="166" fontId="13" fillId="0" borderId="35" xfId="3" applyNumberFormat="1" applyBorder="1"/>
    <xf numFmtId="10" fontId="13" fillId="0" borderId="36" xfId="3" applyNumberFormat="1" applyBorder="1"/>
    <xf numFmtId="166" fontId="13" fillId="0" borderId="36" xfId="3" applyNumberFormat="1" applyBorder="1"/>
    <xf numFmtId="10" fontId="13" fillId="0" borderId="37" xfId="3" applyNumberFormat="1" applyBorder="1"/>
    <xf numFmtId="165" fontId="0" fillId="0" borderId="0" xfId="4" applyFont="1" applyBorder="1"/>
    <xf numFmtId="0" fontId="2" fillId="0" borderId="0" xfId="0" applyFont="1" applyAlignment="1"/>
    <xf numFmtId="0" fontId="0" fillId="0" borderId="0" xfId="0" applyAlignment="1"/>
    <xf numFmtId="0" fontId="1" fillId="0" borderId="0" xfId="2" applyNumberFormat="1" applyFont="1" applyFill="1" applyBorder="1"/>
    <xf numFmtId="0" fontId="1" fillId="0" borderId="15" xfId="2" applyNumberFormat="1" applyFont="1" applyFill="1" applyBorder="1"/>
    <xf numFmtId="3" fontId="0" fillId="0" borderId="0" xfId="0" applyNumberFormat="1" applyProtection="1">
      <protection locked="0"/>
    </xf>
    <xf numFmtId="0" fontId="0" fillId="0" borderId="15" xfId="0" applyBorder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 applyAlignment="1">
      <alignment horizontal="center"/>
    </xf>
    <xf numFmtId="0" fontId="13" fillId="0" borderId="18" xfId="3" applyBorder="1" applyAlignment="1">
      <alignment horizontal="center"/>
    </xf>
    <xf numFmtId="0" fontId="16" fillId="0" borderId="0" xfId="3" applyFont="1" applyAlignment="1">
      <alignment horizontal="left" wrapText="1"/>
    </xf>
    <xf numFmtId="43" fontId="2" fillId="0" borderId="0" xfId="2" applyFont="1" applyAlignment="1">
      <alignment horizontal="center"/>
    </xf>
    <xf numFmtId="1" fontId="0" fillId="0" borderId="0" xfId="0" applyNumberFormat="1"/>
    <xf numFmtId="49" fontId="0" fillId="0" borderId="0" xfId="0" applyNumberFormat="1"/>
    <xf numFmtId="0" fontId="1" fillId="0" borderId="0" xfId="2" applyNumberFormat="1" applyFont="1" applyFill="1" applyBorder="1" applyProtection="1">
      <protection locked="0"/>
    </xf>
    <xf numFmtId="165" fontId="1" fillId="0" borderId="15" xfId="2" applyNumberFormat="1" applyFont="1" applyFill="1" applyBorder="1" applyProtection="1">
      <protection locked="0"/>
    </xf>
    <xf numFmtId="165" fontId="1" fillId="0" borderId="0" xfId="2" applyNumberFormat="1" applyFont="1" applyFill="1" applyBorder="1" applyProtection="1">
      <protection locked="0"/>
    </xf>
    <xf numFmtId="0" fontId="1" fillId="0" borderId="15" xfId="2" applyNumberFormat="1" applyFont="1" applyFill="1" applyBorder="1" applyProtection="1">
      <protection locked="0"/>
    </xf>
    <xf numFmtId="165" fontId="1" fillId="0" borderId="0" xfId="0" applyNumberFormat="1" applyFont="1" applyProtection="1">
      <protection locked="0"/>
    </xf>
    <xf numFmtId="0" fontId="0" fillId="0" borderId="0" xfId="0" applyFont="1"/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wrapText="1"/>
    </xf>
    <xf numFmtId="0" fontId="0" fillId="5" borderId="2" xfId="0" applyFill="1" applyBorder="1"/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/>
    <xf numFmtId="0" fontId="0" fillId="8" borderId="2" xfId="0" applyFill="1" applyBorder="1" applyAlignment="1">
      <alignment horizontal="center" wrapText="1"/>
    </xf>
    <xf numFmtId="0" fontId="0" fillId="5" borderId="4" xfId="0" applyFill="1" applyBorder="1"/>
    <xf numFmtId="0" fontId="0" fillId="7" borderId="4" xfId="0" applyFill="1" applyBorder="1"/>
    <xf numFmtId="0" fontId="0" fillId="0" borderId="38" xfId="0" applyBorder="1"/>
    <xf numFmtId="0" fontId="0" fillId="5" borderId="38" xfId="0" applyFill="1" applyBorder="1"/>
    <xf numFmtId="0" fontId="0" fillId="7" borderId="38" xfId="0" applyFill="1" applyBorder="1"/>
    <xf numFmtId="0" fontId="12" fillId="0" borderId="2" xfId="0" applyFont="1" applyBorder="1"/>
    <xf numFmtId="10" fontId="0" fillId="5" borderId="2" xfId="0" applyNumberFormat="1" applyFill="1" applyBorder="1"/>
    <xf numFmtId="10" fontId="0" fillId="7" borderId="2" xfId="0" applyNumberFormat="1" applyFill="1" applyBorder="1"/>
    <xf numFmtId="0" fontId="0" fillId="7" borderId="0" xfId="0" applyFill="1" applyBorder="1" applyAlignment="1">
      <alignment horizontal="center" vertical="center" wrapText="1"/>
    </xf>
    <xf numFmtId="165" fontId="0" fillId="0" borderId="0" xfId="2" applyNumberFormat="1" applyFont="1" applyFill="1" applyBorder="1"/>
    <xf numFmtId="170" fontId="0" fillId="0" borderId="0" xfId="2" applyNumberFormat="1" applyFont="1" applyFill="1" applyBorder="1"/>
    <xf numFmtId="0" fontId="0" fillId="0" borderId="2" xfId="0" applyBorder="1" applyAlignment="1">
      <alignment horizontal="center"/>
    </xf>
    <xf numFmtId="1" fontId="0" fillId="5" borderId="2" xfId="0" applyNumberFormat="1" applyFill="1" applyBorder="1"/>
    <xf numFmtId="1" fontId="0" fillId="5" borderId="38" xfId="0" applyNumberFormat="1" applyFill="1" applyBorder="1"/>
    <xf numFmtId="1" fontId="0" fillId="5" borderId="4" xfId="0" applyNumberFormat="1" applyFill="1" applyBorder="1"/>
  </cellXfs>
  <cellStyles count="6">
    <cellStyle name="Comma" xfId="2" builtinId="3"/>
    <cellStyle name="Comma 2" xfId="4" xr:uid="{A837A04F-531A-4CEC-A7D2-86D24ED5B924}"/>
    <cellStyle name="Currency" xfId="1" builtinId="4"/>
    <cellStyle name="Normal" xfId="0" builtinId="0"/>
    <cellStyle name="Normal 2" xfId="3" xr:uid="{F83303EA-C36B-4C99-8BFF-41D2F58AA1D9}"/>
    <cellStyle name="Percent 2" xfId="5" xr:uid="{83E89360-CC62-4784-A258-CCDC03421408}"/>
  </cellStyles>
  <dxfs count="322">
    <dxf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</font>
    </dxf>
    <dxf>
      <font>
        <b val="0"/>
      </font>
    </dxf>
    <dxf>
      <font>
        <b val="0"/>
      </font>
      <numFmt numFmtId="165" formatCode="_(* #,##0.00_);_(* \(#,##0.00\);_(* &quot;-&quot;??_);_(@_)"/>
    </dxf>
    <dxf>
      <font>
        <b val="0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</dxf>
    <dxf>
      <font>
        <b val="0"/>
      </font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9" formatCode="_-&quot;$&quot;* #,##0_-;\-&quot;$&quot;* #,##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16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164623</xdr:colOff>
      <xdr:row>0</xdr:row>
      <xdr:rowOff>130479</xdr:rowOff>
    </xdr:from>
    <xdr:to>
      <xdr:col>7</xdr:col>
      <xdr:colOff>210292</xdr:colOff>
      <xdr:row>2</xdr:row>
      <xdr:rowOff>130480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CCA0E8D-13D4-4E0A-9A1D-BD5E682E6A0E}"/>
            </a:ext>
          </a:extLst>
        </xdr:cNvPr>
        <xdr:cNvGrpSpPr/>
      </xdr:nvGrpSpPr>
      <xdr:grpSpPr>
        <a:xfrm>
          <a:off x="9087297" y="134289"/>
          <a:ext cx="2153341" cy="445326"/>
          <a:chOff x="12506324" y="114299"/>
          <a:chExt cx="2433989" cy="707403"/>
        </a:xfrm>
      </xdr:grpSpPr>
      <xdr:sp macro="[0]!Upload_Corresponding_Client_TB_Value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A3073451-8C4B-459B-8CBC-5FDE3E3220D5}"/>
              </a:ext>
            </a:extLst>
          </xdr:cNvPr>
          <xdr:cNvSpPr/>
        </xdr:nvSpPr>
        <xdr:spPr>
          <a:xfrm>
            <a:off x="12506324" y="114299"/>
            <a:ext cx="2433989" cy="70740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               IMPORT TRIAL BALANCE</a:t>
            </a:r>
          </a:p>
        </xdr:txBody>
      </xdr:sp>
      <xdr:pic macro="[0]!Upload_Corresponding_Client_TB_Values">
        <xdr:nvPicPr>
          <xdr:cNvPr id="4" name="Graphic 3" descr="Table">
            <a:extLst>
              <a:ext uri="{FF2B5EF4-FFF2-40B4-BE49-F238E27FC236}">
                <a16:creationId xmlns:a16="http://schemas.microsoft.com/office/drawing/2014/main" id="{4AC805DC-D405-4F7D-BB47-7ADBE9018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559665" y="152399"/>
            <a:ext cx="518160" cy="51598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307745</xdr:colOff>
      <xdr:row>0</xdr:row>
      <xdr:rowOff>130554</xdr:rowOff>
    </xdr:from>
    <xdr:to>
      <xdr:col>9</xdr:col>
      <xdr:colOff>717470</xdr:colOff>
      <xdr:row>2</xdr:row>
      <xdr:rowOff>174220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1910A85-6339-41D1-B0C3-C3C760F8E8E7}"/>
            </a:ext>
          </a:extLst>
        </xdr:cNvPr>
        <xdr:cNvGrpSpPr/>
      </xdr:nvGrpSpPr>
      <xdr:grpSpPr>
        <a:xfrm>
          <a:off x="11341901" y="134364"/>
          <a:ext cx="2040677" cy="481371"/>
          <a:chOff x="13645515" y="674370"/>
          <a:chExt cx="1858803" cy="502920"/>
        </a:xfrm>
      </xdr:grpSpPr>
      <xdr:sp macro="[0]!Upload_to_Databas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EB10D7-6AC0-4DDB-A8DF-3A2938CF8CDC}"/>
              </a:ext>
            </a:extLst>
          </xdr:cNvPr>
          <xdr:cNvSpPr/>
        </xdr:nvSpPr>
        <xdr:spPr>
          <a:xfrm>
            <a:off x="13675518" y="674370"/>
            <a:ext cx="1828800" cy="48387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    </a:t>
            </a:r>
            <a:r>
              <a:rPr lang="en-CA" sz="1100"/>
              <a:t>UPLOAD RESULTS</a:t>
            </a:r>
          </a:p>
        </xdr:txBody>
      </xdr:sp>
      <xdr:pic macro="[0]!Upload_to_Database">
        <xdr:nvPicPr>
          <xdr:cNvPr id="9" name="Graphic 8" descr="Database">
            <a:extLst>
              <a:ext uri="{FF2B5EF4-FFF2-40B4-BE49-F238E27FC236}">
                <a16:creationId xmlns:a16="http://schemas.microsoft.com/office/drawing/2014/main" id="{5A11E8E5-A265-4660-8ECD-ED398D875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645515" y="701040"/>
            <a:ext cx="478243" cy="4762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969620</xdr:colOff>
      <xdr:row>0</xdr:row>
      <xdr:rowOff>132261</xdr:rowOff>
    </xdr:from>
    <xdr:to>
      <xdr:col>11</xdr:col>
      <xdr:colOff>1315043</xdr:colOff>
      <xdr:row>3</xdr:row>
      <xdr:rowOff>6654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509AD794-0B63-416B-A4A0-57436A0AB37F}"/>
            </a:ext>
          </a:extLst>
        </xdr:cNvPr>
        <xdr:cNvGrpSpPr/>
      </xdr:nvGrpSpPr>
      <xdr:grpSpPr>
        <a:xfrm>
          <a:off x="13640443" y="136071"/>
          <a:ext cx="2292284" cy="540475"/>
          <a:chOff x="13640443" y="142726"/>
          <a:chExt cx="2292284" cy="546190"/>
        </a:xfrm>
      </xdr:grpSpPr>
      <xdr:sp macro="[0]!Manual_Adjustment" textlink="">
        <xdr:nvSpPr>
          <xdr:cNvPr id="3" name="Rectangle: Rounded Corners 2" descr="Use this button to upload the manual adjustments.">
            <a:extLst>
              <a:ext uri="{FF2B5EF4-FFF2-40B4-BE49-F238E27FC236}">
                <a16:creationId xmlns:a16="http://schemas.microsoft.com/office/drawing/2014/main" id="{236E1D95-550A-463F-A204-34ED95463721}"/>
              </a:ext>
            </a:extLst>
          </xdr:cNvPr>
          <xdr:cNvSpPr/>
        </xdr:nvSpPr>
        <xdr:spPr>
          <a:xfrm>
            <a:off x="13640443" y="142726"/>
            <a:ext cx="2292284" cy="54619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	UPLOAD</a:t>
            </a:r>
            <a:r>
              <a:rPr lang="en-CA" sz="1100" baseline="0"/>
              <a:t> MANUAL 	ADJUSTMENTS</a:t>
            </a:r>
            <a:endParaRPr lang="en-CA" sz="1100"/>
          </a:p>
        </xdr:txBody>
      </xdr:sp>
      <xdr:pic macro="[0]!Manual_Adjustment">
        <xdr:nvPicPr>
          <xdr:cNvPr id="12" name="Graphic 11" descr="Database">
            <a:extLst>
              <a:ext uri="{FF2B5EF4-FFF2-40B4-BE49-F238E27FC236}">
                <a16:creationId xmlns:a16="http://schemas.microsoft.com/office/drawing/2014/main" id="{33C4F056-E880-448C-8EE8-38BA914BA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751775" y="169372"/>
            <a:ext cx="461515" cy="46341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111331</xdr:colOff>
      <xdr:row>0</xdr:row>
      <xdr:rowOff>144630</xdr:rowOff>
    </xdr:from>
    <xdr:to>
      <xdr:col>15</xdr:col>
      <xdr:colOff>127511</xdr:colOff>
      <xdr:row>4</xdr:row>
      <xdr:rowOff>24738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E41DDC5-1DB3-43BD-B61E-5BCBC3CDA57E}"/>
            </a:ext>
          </a:extLst>
        </xdr:cNvPr>
        <xdr:cNvGrpSpPr/>
      </xdr:nvGrpSpPr>
      <xdr:grpSpPr>
        <a:xfrm>
          <a:off x="21128182" y="142725"/>
          <a:ext cx="2023951" cy="731742"/>
          <a:chOff x="21128182" y="146535"/>
          <a:chExt cx="2018236" cy="735779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26EF32A-8891-43A5-A00A-31EE9DB789EE}"/>
              </a:ext>
            </a:extLst>
          </xdr:cNvPr>
          <xdr:cNvSpPr/>
        </xdr:nvSpPr>
        <xdr:spPr>
          <a:xfrm>
            <a:off x="21128182" y="199826"/>
            <a:ext cx="2018236" cy="68248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POPULATE TAX 	PROVISION</a:t>
            </a:r>
            <a:r>
              <a:rPr lang="en-CA" sz="1100" baseline="0"/>
              <a:t> 	WORKBOOK</a:t>
            </a:r>
            <a:endParaRPr lang="en-CA" sz="1100"/>
          </a:p>
        </xdr:txBody>
      </xdr:sp>
      <xdr:pic>
        <xdr:nvPicPr>
          <xdr:cNvPr id="15" name="Graphic 14" descr="Table">
            <a:extLst>
              <a:ext uri="{FF2B5EF4-FFF2-40B4-BE49-F238E27FC236}">
                <a16:creationId xmlns:a16="http://schemas.microsoft.com/office/drawing/2014/main" id="{CE51CFEB-DC05-4839-929D-E0F7ECA2E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129123" y="146535"/>
            <a:ext cx="662171" cy="65752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44600</xdr:rowOff>
    </xdr:from>
    <xdr:to>
      <xdr:col>3</xdr:col>
      <xdr:colOff>0</xdr:colOff>
      <xdr:row>3</xdr:row>
      <xdr:rowOff>59055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A622A5E-3F20-45B8-A8EF-E30141E531BA}"/>
            </a:ext>
          </a:extLst>
        </xdr:cNvPr>
        <xdr:cNvGrpSpPr/>
      </xdr:nvGrpSpPr>
      <xdr:grpSpPr>
        <a:xfrm>
          <a:off x="4639195" y="46505"/>
          <a:ext cx="2721032" cy="565396"/>
          <a:chOff x="4657725" y="48303"/>
          <a:chExt cx="1335800" cy="321227"/>
        </a:xfrm>
      </xdr:grpSpPr>
      <xdr:sp macro="[0]!Update_Current_Tax_Expens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BF9DDD3E-02AD-480C-940D-2019F4DEC6A2}"/>
              </a:ext>
            </a:extLst>
          </xdr:cNvPr>
          <xdr:cNvSpPr/>
        </xdr:nvSpPr>
        <xdr:spPr>
          <a:xfrm>
            <a:off x="4657725" y="53341"/>
            <a:ext cx="1335800" cy="29213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CA" sz="1100" baseline="0"/>
              <a:t>    	</a:t>
            </a:r>
            <a:r>
              <a:rPr lang="en-CA" sz="1100"/>
              <a:t>UPDATE CURRENT</a:t>
            </a:r>
            <a:r>
              <a:rPr lang="en-CA" sz="1100" baseline="0"/>
              <a:t> </a:t>
            </a:r>
            <a:r>
              <a:rPr lang="en-CA" sz="1100"/>
              <a:t>TAX</a:t>
            </a:r>
            <a:r>
              <a:rPr lang="en-CA" sz="1100" baseline="0"/>
              <a:t> EXPENSE CALCULATION	</a:t>
            </a:r>
            <a:endParaRPr lang="en-CA" sz="1100"/>
          </a:p>
        </xdr:txBody>
      </xdr:sp>
      <xdr:pic macro="[0]!Update_Current_Tax_Expense">
        <xdr:nvPicPr>
          <xdr:cNvPr id="6" name="Graphic 5" descr="Table">
            <a:extLst>
              <a:ext uri="{FF2B5EF4-FFF2-40B4-BE49-F238E27FC236}">
                <a16:creationId xmlns:a16="http://schemas.microsoft.com/office/drawing/2014/main" id="{57A1B183-E426-457B-9ECD-D20D8567FE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93995" y="48303"/>
            <a:ext cx="323373" cy="32122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0</xdr:row>
      <xdr:rowOff>53340</xdr:rowOff>
    </xdr:from>
    <xdr:to>
      <xdr:col>5</xdr:col>
      <xdr:colOff>925830</xdr:colOff>
      <xdr:row>3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E3220ED-43D2-4161-BCD0-1BC0326B7D10}"/>
            </a:ext>
          </a:extLst>
        </xdr:cNvPr>
        <xdr:cNvGrpSpPr/>
      </xdr:nvGrpSpPr>
      <xdr:grpSpPr>
        <a:xfrm>
          <a:off x="7966364" y="57150"/>
          <a:ext cx="2154282" cy="518556"/>
          <a:chOff x="7019925" y="53340"/>
          <a:chExt cx="2145030" cy="504825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1F8EBDF-B431-4A86-9751-CA60D96EDA87}"/>
              </a:ext>
            </a:extLst>
          </xdr:cNvPr>
          <xdr:cNvSpPr/>
        </xdr:nvSpPr>
        <xdr:spPr>
          <a:xfrm>
            <a:off x="7019925" y="53340"/>
            <a:ext cx="2145030" cy="5048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</a:t>
            </a:r>
            <a:r>
              <a:rPr lang="en-CA" sz="1100"/>
              <a:t>SUBMIT</a:t>
            </a:r>
            <a:r>
              <a:rPr lang="en-CA" sz="1100" baseline="0"/>
              <a:t> MANUAL     	ADJUSTMENTS</a:t>
            </a:r>
            <a:endParaRPr lang="en-CA" sz="1100"/>
          </a:p>
        </xdr:txBody>
      </xdr:sp>
      <xdr:pic>
        <xdr:nvPicPr>
          <xdr:cNvPr id="10" name="Graphic 9" descr="Database">
            <a:extLst>
              <a:ext uri="{FF2B5EF4-FFF2-40B4-BE49-F238E27FC236}">
                <a16:creationId xmlns:a16="http://schemas.microsoft.com/office/drawing/2014/main" id="{3B7A4F19-22E1-4AD1-A266-2E938368FA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73265" y="140970"/>
            <a:ext cx="336492" cy="33528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525372</xdr:colOff>
      <xdr:row>0</xdr:row>
      <xdr:rowOff>132261</xdr:rowOff>
    </xdr:from>
    <xdr:to>
      <xdr:col>3</xdr:col>
      <xdr:colOff>340179</xdr:colOff>
      <xdr:row>4</xdr:row>
      <xdr:rowOff>55697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9DDC126-D77B-4314-8D17-7E4494698E5A}"/>
            </a:ext>
          </a:extLst>
        </xdr:cNvPr>
        <xdr:cNvGrpSpPr/>
      </xdr:nvGrpSpPr>
      <xdr:grpSpPr>
        <a:xfrm>
          <a:off x="4818376" y="136071"/>
          <a:ext cx="3289008" cy="650800"/>
          <a:chOff x="4828631" y="132261"/>
          <a:chExt cx="3284628" cy="671829"/>
        </a:xfrm>
      </xdr:grpSpPr>
      <xdr:sp macro="[0]!Return_to_Provision.Return_to_Provision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75A0E33B-6C79-4805-8375-AE4F71556C82}"/>
              </a:ext>
            </a:extLst>
          </xdr:cNvPr>
          <xdr:cNvSpPr/>
        </xdr:nvSpPr>
        <xdr:spPr>
          <a:xfrm>
            <a:off x="4828631" y="132261"/>
            <a:ext cx="3284628" cy="64824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UPDATE RETURN TO PROVISION</a:t>
            </a:r>
          </a:p>
        </xdr:txBody>
      </xdr:sp>
      <xdr:pic macro="[0]!Return_to_Provision.Return_to_Provision">
        <xdr:nvPicPr>
          <xdr:cNvPr id="4" name="Graphic 3" descr="Database">
            <a:extLst>
              <a:ext uri="{FF2B5EF4-FFF2-40B4-BE49-F238E27FC236}">
                <a16:creationId xmlns:a16="http://schemas.microsoft.com/office/drawing/2014/main" id="{68E6F14C-1AA7-44E6-AA8C-9158B8470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15580" y="132262"/>
            <a:ext cx="663349" cy="671828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ce1\D\Documents%20and%20Settings\accsys003\Local%20Settings\Temporary%20Internet%20Files\Content.IE5\UHU52NMD\Leo_0303_SchVI(2002-03)12-08-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3\c\WINDOWS\TEMP\jitk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GERT\Flas9900\FD%20Report\TEDGrap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APPOR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RESERV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t-co-ksp\macs\1200\srb_b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kwan/AppData/Local/Microsoft/Windows/Temporary%20Internet%20Files/Content.Outlook/UZSC7N5P/BGRS%20India-%20%20Financials%20Statement%20%20-%20FY%202014-15%20-%2029-Sep-2015%20(2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USER\SS11230\WKS\Novo\Nnas\Corporate%20tax%20return-nna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ilips\my%20documents\My%20Business\Tax_Audit\Fy%2001\D%20Ashok%20&amp;%20Son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M%20Financial%20Reporting%20Template%20-%20Platform%20Q4%20Clean%20(2)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Tax\Tax%20Accounting\BAM%20Reporting\FY%202018\Q1\1.%20Canada\Relocation\001-BGRSL\2018-March-BGRS_Can.BGRS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ax%20Provision%20Workbook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1.249\mca\Users\cpdaudit\Desktop\Sec.%2043B%20workings%20(Sch.10%20to%203CD)%20-%20FINA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a-india\d1\d1\Audit%2007-08%20-%20MCA\BGR\Statutory%20dues\FBT\Audit\Fbt%20SANDEE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ccounting\Reporting\2017\BBU%20Consolidation\Q3\Q3%202017%20Consolidation%20Workbook%20-%20October%205%20(8pm)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02itcge\finshare$\WINDOWS\TEMP\QuickPlace\Infrastructure%2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March%20200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ban0701\Audit\arun_b\WINDOWS\TEMP\BS9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lal/Desktop/Documents%20transferred%20from%20RSM%20Laptop%20due%20to%20RAM%20issue/Gold%20Standard/Provision%20DataHub%20v14%20(DTC%20-%20Adjust%20Rates-Flow%20Throughs)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NOT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Audit\Arjun\Audited%20Accounts\Audit-2002\Novellus%20March%202002%20Schedule%20VI%20accounts_drft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tischler/AppData/Local/Microsoft/Windows/Temporary%20Internet%20Files/Content.Outlook/IFEQGEYF/100%20-%20RPS%20Q4%202017%20Tax%20Provision%20(Oct%20YTD%20dry-run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PXShare\Commercial%20Property\Finance\Overheads%20-%20restricted\Commercial%20Forecasting%20Summary%20&amp;%20Analysis%20Revised%20Jan09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November%202002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gunathan/Documents/Perumal/IT%20Return/2013/complete/Ranga/2013_ITR1_PR6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August%2020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s-P&amp;l"/>
      <sheetName val="Grouping - BS"/>
      <sheetName val="Schedules"/>
      <sheetName val="BS and P&amp;L"/>
      <sheetName val="Sch E (FA sch 02-03)"/>
      <sheetName val="Abstract"/>
      <sheetName val="Deferred tax"/>
      <sheetName val="fu 02-03"/>
      <sheetName val="Income tax"/>
      <sheetName val="MAT 02-03"/>
      <sheetName val="APP to 3CD (Revised)"/>
      <sheetName val="Quantitative info(App.X)"/>
      <sheetName val="Analysis"/>
      <sheetName val="BS and P_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x_Copy"/>
      <sheetName val="Empe_info"/>
      <sheetName val="Sample"/>
      <sheetName val="LTA'00"/>
      <sheetName val="Comp_List"/>
      <sheetName val="Computation"/>
      <sheetName val="Srividya"/>
      <sheetName val="VijaySimha"/>
      <sheetName val="CLAReddy"/>
      <sheetName val="Jyothi"/>
      <sheetName val="Gayathri"/>
      <sheetName val="Srikant"/>
      <sheetName val="Rufina"/>
      <sheetName val="Narayanan"/>
      <sheetName val="Raghava"/>
      <sheetName val="Subbarayan"/>
      <sheetName val="Sridhar"/>
      <sheetName val="NoelEdwards"/>
      <sheetName val="TAcharya"/>
      <sheetName val="Venkataramani"/>
      <sheetName val="SatheeshKum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J2" t="str">
            <v>FORM NO. 16</v>
          </cell>
        </row>
        <row r="3">
          <cell r="AJ3" t="str">
            <v>[See Rule 31(1)(a)]</v>
          </cell>
        </row>
        <row r="5">
          <cell r="AJ5" t="str">
            <v>CERTIFICATE UNDER SECTION 203 OF THE INCOME-TAX ACT. 1961 FOR</v>
          </cell>
        </row>
        <row r="6">
          <cell r="AJ6" t="str">
            <v>TAX DEDUCTED AT SOURCE FROM INCOME CHARGEABLE UNDER THE HEAD "SALARIES"</v>
          </cell>
        </row>
        <row r="7">
          <cell r="AN7" t="str">
            <v xml:space="preserve">Serial No : </v>
          </cell>
          <cell r="AO7" t="str">
            <v>001/99-00</v>
          </cell>
        </row>
        <row r="8">
          <cell r="AJ8" t="str">
            <v>Name and Address of the Employer</v>
          </cell>
          <cell r="AM8" t="str">
            <v>Name and Designation of the Employee</v>
          </cell>
        </row>
        <row r="10">
          <cell r="AK10" t="str">
            <v>MAKINO ASIA PTE. LTD,</v>
          </cell>
        </row>
        <row r="11">
          <cell r="AK11" t="str">
            <v>"CREATOR", UNIT III</v>
          </cell>
        </row>
        <row r="12">
          <cell r="AK12" t="str">
            <v>INTERNATIONAL TECH PARK</v>
          </cell>
        </row>
        <row r="13">
          <cell r="AK13" t="str">
            <v>WHITEFIELD ROAD</v>
          </cell>
        </row>
        <row r="14">
          <cell r="AK14" t="str">
            <v>BANGALORE - 560 066</v>
          </cell>
        </row>
        <row r="16">
          <cell r="AJ16" t="str">
            <v>PAN/GIR NO.</v>
          </cell>
          <cell r="AL16" t="str">
            <v>TAN</v>
          </cell>
          <cell r="AM16" t="str">
            <v>PAN/GIR NO.</v>
          </cell>
        </row>
        <row r="17">
          <cell r="AK17" t="str">
            <v>NOT ALLOTTED</v>
          </cell>
          <cell r="AL17" t="str">
            <v>M-1898-B(S)</v>
          </cell>
        </row>
        <row r="18">
          <cell r="AL18" t="str">
            <v>BGL</v>
          </cell>
        </row>
        <row r="19">
          <cell r="AJ19" t="str">
            <v>TDS Circle where Annual Return/Statement under</v>
          </cell>
          <cell r="AL19" t="str">
            <v>PERIOD</v>
          </cell>
          <cell r="AN19" t="str">
            <v>Assessment year</v>
          </cell>
        </row>
        <row r="20">
          <cell r="AJ20" t="str">
            <v>section 206 is to be filed.</v>
          </cell>
          <cell r="AL20" t="str">
            <v>FROM</v>
          </cell>
          <cell r="AM20" t="str">
            <v>TO</v>
          </cell>
        </row>
        <row r="22">
          <cell r="AK22" t="str">
            <v>ITS (TDS) I</v>
          </cell>
          <cell r="AL22" t="str">
            <v>01.04.2000</v>
          </cell>
          <cell r="AM22" t="str">
            <v>31.03.2001</v>
          </cell>
          <cell r="AN22" t="str">
            <v>2001-02</v>
          </cell>
        </row>
        <row r="23">
          <cell r="AK23" t="str">
            <v>BANGALORE</v>
          </cell>
        </row>
        <row r="26">
          <cell r="AJ26" t="str">
            <v>DETAILS OF SALARY PAID AND ANY OTHER INCOME AND TAX DEDUCTED</v>
          </cell>
        </row>
        <row r="27">
          <cell r="AM27" t="str">
            <v>Rs.</v>
          </cell>
          <cell r="AN27" t="str">
            <v>Rs.</v>
          </cell>
          <cell r="AO27" t="str">
            <v>Rs.</v>
          </cell>
        </row>
        <row r="28">
          <cell r="AJ28" t="str">
            <v>1.</v>
          </cell>
          <cell r="AK28" t="str">
            <v>Gross Salary *</v>
          </cell>
          <cell r="AN28">
            <v>0</v>
          </cell>
        </row>
        <row r="30">
          <cell r="AJ30" t="str">
            <v>2.</v>
          </cell>
          <cell r="AK30" t="str">
            <v>Less : Allowance to the extent exempt under section 10</v>
          </cell>
          <cell r="AN30">
            <v>0</v>
          </cell>
        </row>
        <row r="32">
          <cell r="AJ32" t="str">
            <v>3.</v>
          </cell>
          <cell r="AK32" t="str">
            <v>Balance (1-2)</v>
          </cell>
          <cell r="AN32">
            <v>0</v>
          </cell>
        </row>
        <row r="34">
          <cell r="AJ34" t="str">
            <v>4.</v>
          </cell>
          <cell r="AK34" t="str">
            <v>Deductions :</v>
          </cell>
        </row>
        <row r="36">
          <cell r="AK36" t="str">
            <v>(a)  Standard Deduction</v>
          </cell>
          <cell r="AL36">
            <v>20000</v>
          </cell>
        </row>
        <row r="38">
          <cell r="AK38" t="str">
            <v>(b)  Entertainment Allowance</v>
          </cell>
          <cell r="AL38">
            <v>0</v>
          </cell>
        </row>
        <row r="40">
          <cell r="AK40" t="str">
            <v>(c)  Tax on Employment</v>
          </cell>
          <cell r="AL40">
            <v>0</v>
          </cell>
        </row>
        <row r="42">
          <cell r="AJ42" t="str">
            <v>5.</v>
          </cell>
          <cell r="AK42" t="str">
            <v>Aggregate of 4(a to c)</v>
          </cell>
          <cell r="AM42">
            <v>20000</v>
          </cell>
        </row>
        <row r="44">
          <cell r="AJ44" t="str">
            <v>6.</v>
          </cell>
          <cell r="AK44" t="str">
            <v>Income chargeable under the head "Salaries"(3-5)</v>
          </cell>
          <cell r="AO44">
            <v>-20000</v>
          </cell>
        </row>
        <row r="46">
          <cell r="AJ46" t="str">
            <v>7.</v>
          </cell>
          <cell r="AK46" t="str">
            <v>Add : Any other income reported by employee</v>
          </cell>
          <cell r="AO46">
            <v>0</v>
          </cell>
        </row>
        <row r="48">
          <cell r="AJ48" t="str">
            <v>8.</v>
          </cell>
          <cell r="AK48" t="str">
            <v>Gross Total Income (6+7)</v>
          </cell>
          <cell r="AO48">
            <v>-20000</v>
          </cell>
        </row>
        <row r="50">
          <cell r="AJ50" t="str">
            <v>9.</v>
          </cell>
          <cell r="AK50" t="str">
            <v>Deductions under Chapter VI-A</v>
          </cell>
          <cell r="AL50" t="str">
            <v>Gross</v>
          </cell>
          <cell r="AM50" t="str">
            <v xml:space="preserve">Qualifying </v>
          </cell>
          <cell r="AN50" t="str">
            <v>Deductible</v>
          </cell>
        </row>
        <row r="51">
          <cell r="AL51" t="str">
            <v>Amount</v>
          </cell>
          <cell r="AM51" t="str">
            <v>Amount</v>
          </cell>
          <cell r="AN51" t="str">
            <v>Amount</v>
          </cell>
        </row>
        <row r="53">
          <cell r="AK53" t="str">
            <v>a) Deduction under 80CCA</v>
          </cell>
          <cell r="AL53">
            <v>0</v>
          </cell>
          <cell r="AM53">
            <v>0</v>
          </cell>
          <cell r="AN53">
            <v>0</v>
          </cell>
        </row>
        <row r="54">
          <cell r="AK54" t="str">
            <v>b) Deduction under 80G</v>
          </cell>
          <cell r="AL54">
            <v>0</v>
          </cell>
          <cell r="AM54">
            <v>0</v>
          </cell>
          <cell r="AN54">
            <v>0</v>
          </cell>
        </row>
        <row r="55">
          <cell r="AK55" t="str">
            <v>c) Deduction under 80D</v>
          </cell>
          <cell r="AL55">
            <v>0</v>
          </cell>
          <cell r="AM55">
            <v>0</v>
          </cell>
          <cell r="AN55">
            <v>0</v>
          </cell>
        </row>
        <row r="56">
          <cell r="AK56" t="str">
            <v>d)</v>
          </cell>
        </row>
        <row r="58">
          <cell r="AJ58" t="str">
            <v>10.</v>
          </cell>
          <cell r="AK58" t="str">
            <v>Aggregate of deductible amount under Chapter VI-A</v>
          </cell>
          <cell r="AN58">
            <v>0</v>
          </cell>
        </row>
        <row r="60">
          <cell r="AJ60" t="str">
            <v>11.</v>
          </cell>
          <cell r="AK60" t="str">
            <v>Total Income (8-10)</v>
          </cell>
          <cell r="AO60">
            <v>-20000</v>
          </cell>
        </row>
        <row r="62">
          <cell r="AJ62" t="str">
            <v>12.</v>
          </cell>
          <cell r="AK62" t="str">
            <v>Tax on total Income</v>
          </cell>
          <cell r="AO62">
            <v>0</v>
          </cell>
        </row>
        <row r="67">
          <cell r="AJ67" t="str">
            <v>13.</v>
          </cell>
          <cell r="AK67" t="str">
            <v>Rebate and relief under Chapter VIII</v>
          </cell>
        </row>
        <row r="69">
          <cell r="AK69" t="str">
            <v>I.  Under section 88 (please specify)</v>
          </cell>
          <cell r="AL69" t="str">
            <v>Gross</v>
          </cell>
          <cell r="AM69" t="str">
            <v>Qualifying</v>
          </cell>
          <cell r="AN69" t="str">
            <v>Tax Rebate/</v>
          </cell>
        </row>
        <row r="70">
          <cell r="AL70" t="str">
            <v>Amount</v>
          </cell>
          <cell r="AM70" t="str">
            <v>Amount</v>
          </cell>
          <cell r="AN70" t="str">
            <v>Relief</v>
          </cell>
        </row>
        <row r="72">
          <cell r="AK72" t="str">
            <v>a) P P F</v>
          </cell>
          <cell r="AL72">
            <v>0</v>
          </cell>
          <cell r="AM72">
            <v>0</v>
          </cell>
        </row>
        <row r="73">
          <cell r="AK73" t="str">
            <v>b) NSC Interest</v>
          </cell>
          <cell r="AL73">
            <v>0</v>
          </cell>
          <cell r="AM73">
            <v>0</v>
          </cell>
        </row>
        <row r="74">
          <cell r="AK74" t="str">
            <v>c) NSC Purchased</v>
          </cell>
          <cell r="AL74">
            <v>0</v>
          </cell>
          <cell r="AM74">
            <v>0</v>
          </cell>
        </row>
        <row r="75">
          <cell r="AK75" t="str">
            <v>d) ULIP</v>
          </cell>
          <cell r="AL75">
            <v>0</v>
          </cell>
          <cell r="AM75">
            <v>0</v>
          </cell>
        </row>
        <row r="76">
          <cell r="AK76" t="str">
            <v>e)  Specified Bonds Etc., Infrastructure</v>
          </cell>
          <cell r="AL76">
            <v>0</v>
          </cell>
          <cell r="AM76">
            <v>0</v>
          </cell>
        </row>
        <row r="77">
          <cell r="AK77" t="str">
            <v>f)   Total [ (a) to (e) ]</v>
          </cell>
          <cell r="AL77">
            <v>0</v>
          </cell>
          <cell r="AM77">
            <v>0</v>
          </cell>
          <cell r="AN77">
            <v>0</v>
          </cell>
        </row>
        <row r="79">
          <cell r="AK79" t="str">
            <v>II.  Under section 88A (please specify)</v>
          </cell>
          <cell r="AL79" t="str">
            <v>Gross</v>
          </cell>
          <cell r="AM79" t="str">
            <v>Qualifying</v>
          </cell>
          <cell r="AN79" t="str">
            <v>Tax Rebate/</v>
          </cell>
        </row>
        <row r="80">
          <cell r="AL80" t="str">
            <v>Amount</v>
          </cell>
          <cell r="AM80" t="str">
            <v>Amount</v>
          </cell>
          <cell r="AN80" t="str">
            <v>Relief</v>
          </cell>
        </row>
        <row r="82">
          <cell r="AK82" t="str">
            <v>a)</v>
          </cell>
        </row>
        <row r="83">
          <cell r="AK83" t="str">
            <v>b)</v>
          </cell>
        </row>
        <row r="84">
          <cell r="AK84" t="str">
            <v>c)   Total [ (a) + (b ]</v>
          </cell>
          <cell r="AN84">
            <v>0</v>
          </cell>
        </row>
        <row r="86">
          <cell r="AK86" t="str">
            <v>III.  Under section 89 (Attach details)</v>
          </cell>
          <cell r="AN86">
            <v>0</v>
          </cell>
        </row>
        <row r="88">
          <cell r="AJ88" t="str">
            <v>14.</v>
          </cell>
          <cell r="AK88" t="str">
            <v>Aggregate of Tax rebates and relief at 13 above</v>
          </cell>
          <cell r="AO88">
            <v>0</v>
          </cell>
        </row>
        <row r="89">
          <cell r="AK89" t="str">
            <v>(I (f) + II (c) + III)</v>
          </cell>
        </row>
        <row r="91">
          <cell r="AJ91" t="str">
            <v>15.</v>
          </cell>
          <cell r="AK91" t="str">
            <v>Tax Payable (12-14)</v>
          </cell>
          <cell r="AO91">
            <v>0</v>
          </cell>
        </row>
        <row r="93">
          <cell r="AJ93" t="str">
            <v>16.</v>
          </cell>
          <cell r="AK93" t="str">
            <v>Tax Payable including Surcharge [@ 10% on (15)]</v>
          </cell>
          <cell r="AO93">
            <v>0</v>
          </cell>
        </row>
        <row r="95">
          <cell r="AJ95" t="str">
            <v>17.</v>
          </cell>
          <cell r="AK95" t="str">
            <v>Less : TAX DEDUCTED AT SOURCE</v>
          </cell>
          <cell r="AO95">
            <v>0</v>
          </cell>
        </row>
        <row r="97">
          <cell r="AJ97" t="str">
            <v>18.</v>
          </cell>
          <cell r="AK97" t="str">
            <v>Tax payable/ refundable (16-17)</v>
          </cell>
          <cell r="AO97">
            <v>0</v>
          </cell>
        </row>
        <row r="99">
          <cell r="AJ99" t="str">
            <v>DETAILS OF TAX DEDUCTED AND DEPOSITED INTO CENTRAL GOVERNMENT ACCOUNT</v>
          </cell>
        </row>
        <row r="102">
          <cell r="AJ102" t="str">
            <v>AMOUNT</v>
          </cell>
          <cell r="AL102" t="str">
            <v xml:space="preserve">DATE OF </v>
          </cell>
          <cell r="AM102" t="str">
            <v xml:space="preserve">NAME OF BANK AND BRANCH </v>
          </cell>
        </row>
        <row r="103">
          <cell r="AL103" t="str">
            <v>PAYMENT</v>
          </cell>
          <cell r="AM103" t="str">
            <v>WHERE TAX DEPOSITED</v>
          </cell>
        </row>
        <row r="105">
          <cell r="AK105">
            <v>0</v>
          </cell>
          <cell r="AM105" t="str">
            <v>Canara Bank, Jayanagar Branch</v>
          </cell>
        </row>
        <row r="106">
          <cell r="AK106">
            <v>0</v>
          </cell>
        </row>
        <row r="107">
          <cell r="AK107">
            <v>0</v>
          </cell>
        </row>
        <row r="108">
          <cell r="AK108">
            <v>0</v>
          </cell>
        </row>
        <row r="109">
          <cell r="AK109">
            <v>0</v>
          </cell>
        </row>
        <row r="110">
          <cell r="AK110">
            <v>0</v>
          </cell>
        </row>
        <row r="111">
          <cell r="AK111">
            <v>0</v>
          </cell>
        </row>
        <row r="112">
          <cell r="AK112">
            <v>0</v>
          </cell>
        </row>
        <row r="113">
          <cell r="AK113">
            <v>0</v>
          </cell>
        </row>
        <row r="114">
          <cell r="AK114">
            <v>0</v>
          </cell>
        </row>
        <row r="115">
          <cell r="AK115">
            <v>0</v>
          </cell>
        </row>
        <row r="116">
          <cell r="AK116">
            <v>0</v>
          </cell>
        </row>
        <row r="119">
          <cell r="AJ119" t="str">
            <v>Certified that a sum of Rs. (in words)</v>
          </cell>
        </row>
        <row r="120">
          <cell r="AJ120" t="str">
            <v>has been deducted at source and paid to the credit of the Central Government.  Further certified that the above</v>
          </cell>
        </row>
        <row r="121">
          <cell r="AJ121" t="str">
            <v>information is true and correct as per records.</v>
          </cell>
        </row>
        <row r="128">
          <cell r="AL128" t="str">
            <v>Signature of the person responsible for the deduction of tax</v>
          </cell>
        </row>
        <row r="129">
          <cell r="AJ129" t="str">
            <v>Place : BANGALORE</v>
          </cell>
          <cell r="AL129" t="str">
            <v>Full Name</v>
          </cell>
          <cell r="AM129" t="str">
            <v>MR. VIJAY SIMHA</v>
          </cell>
        </row>
        <row r="130">
          <cell r="AJ130" t="str">
            <v xml:space="preserve">Date   : </v>
          </cell>
          <cell r="AL130" t="str">
            <v>Designation</v>
          </cell>
          <cell r="AM130" t="str">
            <v>GENERAL MANAGER</v>
          </cell>
        </row>
        <row r="132">
          <cell r="AJ132" t="str">
            <v xml:space="preserve">*  See section 15 and 16 and Rule 3.  Furnish separate details of value of the perquisites and profits in lieu of or </v>
          </cell>
        </row>
        <row r="133">
          <cell r="AJ133" t="str">
            <v xml:space="preserve">    in addition to salary or wages.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Reporting Levels"/>
      <sheetName val="Investments"/>
      <sheetName val="weighted averages"/>
      <sheetName val="Spread"/>
      <sheetName val="Consolidated Model (Detailed)"/>
      <sheetName val="$ DPU"/>
      <sheetName val="DPU in cents"/>
      <sheetName val="Issue Price"/>
      <sheetName val="NTA or closing prices"/>
      <sheetName val="WA Issue Price"/>
      <sheetName val="TEDGraph"/>
      <sheetName val="CF Checks"/>
      <sheetName val="Entities"/>
      <sheetName val="Prop_List"/>
      <sheetName val="Sheet3"/>
      <sheetName val="Controls"/>
      <sheetName val="HR BP15"/>
      <sheetName val="Charge_Code"/>
      <sheetName val="Charge Code"/>
      <sheetName val="Drop down lists"/>
      <sheetName val="Cashflow"/>
      <sheetName val="Reporting_Levels"/>
      <sheetName val="weighted_averages"/>
      <sheetName val="Consolidated_Model_(Detailed)"/>
      <sheetName val="$_DPU"/>
      <sheetName val="DPU_in_cents"/>
      <sheetName val="Issue_Price"/>
      <sheetName val="NTA_or_closing_prices"/>
      <sheetName val="WA_Issue_Price"/>
      <sheetName val="CF_Checks"/>
      <sheetName val="Charge_Code1"/>
      <sheetName val="HR_BP15"/>
      <sheetName val="Drop_down_lists"/>
      <sheetName val="DoNotDelete"/>
    </sheetNames>
    <sheetDataSet>
      <sheetData sheetId="0" refreshError="1"/>
      <sheetData sheetId="1" refreshError="1">
        <row r="3">
          <cell r="D3" t="str">
            <v>MONTHLY BROKER'S PROFIT FORECASTS</v>
          </cell>
        </row>
        <row r="7">
          <cell r="D7">
            <v>288.60000000000002</v>
          </cell>
          <cell r="E7">
            <v>288.60000000000002</v>
          </cell>
          <cell r="F7">
            <v>291.8</v>
          </cell>
          <cell r="G7">
            <v>302.89999999999998</v>
          </cell>
          <cell r="H7">
            <v>302.89999999999998</v>
          </cell>
          <cell r="I7">
            <v>302.89999999999998</v>
          </cell>
          <cell r="J7">
            <v>302.89999999999998</v>
          </cell>
          <cell r="K7">
            <v>306.10000000000002</v>
          </cell>
          <cell r="L7">
            <v>315.2</v>
          </cell>
          <cell r="M7">
            <v>314</v>
          </cell>
          <cell r="N7">
            <v>314</v>
          </cell>
          <cell r="O7">
            <v>314</v>
          </cell>
          <cell r="P7">
            <v>313</v>
          </cell>
          <cell r="Q7">
            <v>319</v>
          </cell>
          <cell r="R7">
            <v>319</v>
          </cell>
          <cell r="S7">
            <v>325</v>
          </cell>
          <cell r="T7">
            <v>323</v>
          </cell>
          <cell r="U7">
            <v>323</v>
          </cell>
        </row>
        <row r="8">
          <cell r="D8">
            <v>310.85000000000002</v>
          </cell>
          <cell r="E8">
            <v>310.85000000000002</v>
          </cell>
          <cell r="F8">
            <v>311.7</v>
          </cell>
          <cell r="G8">
            <v>314</v>
          </cell>
          <cell r="H8">
            <v>315.31</v>
          </cell>
          <cell r="I8">
            <v>315.31</v>
          </cell>
          <cell r="J8">
            <v>317</v>
          </cell>
          <cell r="K8">
            <v>317.8</v>
          </cell>
          <cell r="L8">
            <v>319.3</v>
          </cell>
          <cell r="M8">
            <v>318</v>
          </cell>
          <cell r="N8">
            <v>327</v>
          </cell>
          <cell r="O8">
            <v>327</v>
          </cell>
          <cell r="P8">
            <v>327</v>
          </cell>
          <cell r="Q8">
            <v>330</v>
          </cell>
          <cell r="R8">
            <v>330</v>
          </cell>
          <cell r="S8">
            <v>331</v>
          </cell>
          <cell r="T8">
            <v>332</v>
          </cell>
          <cell r="U8">
            <v>332</v>
          </cell>
        </row>
        <row r="9">
          <cell r="D9">
            <v>330.4</v>
          </cell>
          <cell r="E9">
            <v>330.4</v>
          </cell>
          <cell r="F9">
            <v>330.4</v>
          </cell>
          <cell r="G9">
            <v>341.2</v>
          </cell>
          <cell r="H9">
            <v>338.9</v>
          </cell>
          <cell r="I9">
            <v>338.9</v>
          </cell>
          <cell r="J9">
            <v>338.9</v>
          </cell>
          <cell r="K9">
            <v>330</v>
          </cell>
          <cell r="L9">
            <v>345.9</v>
          </cell>
          <cell r="M9">
            <v>329</v>
          </cell>
          <cell r="N9">
            <v>332</v>
          </cell>
          <cell r="O9">
            <v>332</v>
          </cell>
          <cell r="P9">
            <v>345</v>
          </cell>
          <cell r="Q9">
            <v>339</v>
          </cell>
          <cell r="R9">
            <v>342</v>
          </cell>
          <cell r="S9">
            <v>342</v>
          </cell>
          <cell r="T9">
            <v>342</v>
          </cell>
          <cell r="U9">
            <v>343</v>
          </cell>
        </row>
        <row r="10">
          <cell r="P10">
            <v>385</v>
          </cell>
          <cell r="Q10">
            <v>385</v>
          </cell>
          <cell r="R10">
            <v>386</v>
          </cell>
          <cell r="S10">
            <v>386</v>
          </cell>
          <cell r="T10">
            <v>386</v>
          </cell>
          <cell r="U10">
            <v>397</v>
          </cell>
        </row>
        <row r="11">
          <cell r="P11">
            <v>375</v>
          </cell>
          <cell r="Q11">
            <v>375</v>
          </cell>
          <cell r="R11">
            <v>375</v>
          </cell>
          <cell r="S11">
            <v>377</v>
          </cell>
          <cell r="T11">
            <v>372</v>
          </cell>
          <cell r="U11">
            <v>380</v>
          </cell>
        </row>
        <row r="12">
          <cell r="P12">
            <v>363</v>
          </cell>
          <cell r="Q12">
            <v>363</v>
          </cell>
          <cell r="R12">
            <v>360</v>
          </cell>
          <cell r="S12">
            <v>360</v>
          </cell>
          <cell r="T12">
            <v>360</v>
          </cell>
          <cell r="U12">
            <v>363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février"/>
      <sheetName val="Plan janv"/>
      <sheetName val="Plan déc"/>
      <sheetName val="Plan oct"/>
      <sheetName val="Plan sept"/>
      <sheetName val="Plan août"/>
      <sheetName val="conciliation"/>
      <sheetName val="1997-98"/>
      <sheetName val="apports"/>
      <sheetName val="Prévisions"/>
      <sheetName val="Graphiques"/>
      <sheetName val="volume moyen"/>
      <sheetName val="printe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D1" t="str">
            <v>{FOR aa1,7,9,1,sub1}</v>
          </cell>
        </row>
        <row r="151">
          <cell r="H151">
            <v>131.57</v>
          </cell>
          <cell r="I151">
            <v>201.82060975609707</v>
          </cell>
        </row>
        <row r="152">
          <cell r="H152">
            <v>125.36</v>
          </cell>
          <cell r="I152">
            <v>129.61390243902403</v>
          </cell>
        </row>
        <row r="153">
          <cell r="H153">
            <v>86.63</v>
          </cell>
          <cell r="I153">
            <v>96.163536585365918</v>
          </cell>
        </row>
        <row r="154">
          <cell r="H154">
            <v>208.95</v>
          </cell>
          <cell r="I154">
            <v>96.111341463414618</v>
          </cell>
        </row>
        <row r="155">
          <cell r="H155">
            <v>163.54</v>
          </cell>
          <cell r="I155">
            <v>124.08626506024099</v>
          </cell>
        </row>
        <row r="156">
          <cell r="H156">
            <v>214.04</v>
          </cell>
          <cell r="I156">
            <v>151.61819277108435</v>
          </cell>
        </row>
        <row r="157">
          <cell r="H157">
            <v>109.81</v>
          </cell>
          <cell r="I157">
            <v>201.82060975609707</v>
          </cell>
        </row>
        <row r="158">
          <cell r="H158">
            <v>86.7</v>
          </cell>
          <cell r="I158">
            <v>129.61390243902403</v>
          </cell>
        </row>
        <row r="159">
          <cell r="H159">
            <v>59.83</v>
          </cell>
          <cell r="I159">
            <v>96.163536585365918</v>
          </cell>
        </row>
        <row r="160">
          <cell r="H160">
            <v>46.17</v>
          </cell>
          <cell r="I160">
            <v>96.111341463414618</v>
          </cell>
        </row>
        <row r="161">
          <cell r="H161">
            <v>442.67</v>
          </cell>
          <cell r="I161">
            <v>124.08626506024099</v>
          </cell>
        </row>
        <row r="162">
          <cell r="H162">
            <v>265.43</v>
          </cell>
          <cell r="I162">
            <v>151.61819277108435</v>
          </cell>
        </row>
        <row r="163">
          <cell r="H163">
            <v>185.28</v>
          </cell>
        </row>
        <row r="164">
          <cell r="H164">
            <v>92.83</v>
          </cell>
        </row>
        <row r="165">
          <cell r="H165">
            <v>81.680000000000007</v>
          </cell>
        </row>
        <row r="166">
          <cell r="H166">
            <v>88.07</v>
          </cell>
        </row>
        <row r="167">
          <cell r="H167">
            <v>220.48</v>
          </cell>
        </row>
        <row r="168">
          <cell r="H168">
            <v>265.43</v>
          </cell>
        </row>
        <row r="169">
          <cell r="H169">
            <v>185.28</v>
          </cell>
        </row>
        <row r="170">
          <cell r="H170">
            <v>92.83</v>
          </cell>
        </row>
        <row r="171">
          <cell r="H171">
            <v>81.680000000000007</v>
          </cell>
        </row>
        <row r="172">
          <cell r="H172">
            <v>88.07</v>
          </cell>
        </row>
        <row r="173">
          <cell r="H173">
            <v>220.48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s Cèdres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 9&amp;10"/>
      <sheetName val="vb 9_10"/>
      <sheetName val="#REF"/>
      <sheetName val="wdr bldg"/>
      <sheetName val="NOTES"/>
      <sheetName val="FUNDFLOW"/>
      <sheetName val="data_Page1_1_1"/>
      <sheetName val="Returns"/>
      <sheetName val="FINAL"/>
      <sheetName val="2000"/>
      <sheetName val="SCH4"/>
      <sheetName val="EngHcGraph"/>
      <sheetName val="Headcount"/>
      <sheetName val="Cntmrs-Recruit"/>
      <sheetName val="TB"/>
      <sheetName val="mp_rev"/>
      <sheetName val="EXPENSES"/>
      <sheetName val="tngst1"/>
      <sheetName val="vb_9&amp;10"/>
      <sheetName val="vb_9_10"/>
      <sheetName val="wdr_bldg"/>
      <sheetName val="TRIAL BALANCE"/>
      <sheetName val="Credit Limits"/>
      <sheetName val="B_S"/>
      <sheetName val="Sheet1"/>
      <sheetName val="JUN 06 PAY REGISTER"/>
      <sheetName val="CRITERIA1"/>
      <sheetName val="summary"/>
      <sheetName val="vb_9&amp;101"/>
      <sheetName val="vb_9_101"/>
      <sheetName val="wdr_bldg1"/>
      <sheetName val="TRIAL_BALANCE"/>
      <sheetName val="Credit_Limits"/>
      <sheetName val="vb_9&amp;102"/>
      <sheetName val="vb_9_102"/>
      <sheetName val="wdr_bldg2"/>
      <sheetName val="TRIAL_BALANCE1"/>
      <sheetName val="Credit_Limits1"/>
      <sheetName val="vb_9&amp;103"/>
      <sheetName val="vb_9_103"/>
      <sheetName val="wdr_bldg3"/>
      <sheetName val="TRIAL_BALANCE2"/>
      <sheetName val="Credit_Limits2"/>
      <sheetName val="department"/>
      <sheetName val="PBCLIST"/>
      <sheetName val="Metadata"/>
      <sheetName val="Region Wise Analysis"/>
      <sheetName val="vb_9&amp;104"/>
      <sheetName val="vb_9_104"/>
      <sheetName val="wdr_bldg4"/>
      <sheetName val="TRIAL_BALANCE3"/>
      <sheetName val="Credit_Limits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 Sheet"/>
      <sheetName val="P&amp;L"/>
      <sheetName val="Cash Flow Statement "/>
      <sheetName val="3 &amp; 3.A- Share Capital"/>
      <sheetName val="4 - Reserves &amp; Surplus"/>
      <sheetName val="Note 5,6,7 &amp; 8 "/>
      <sheetName val="9. Tangible &amp; Intangible Assets"/>
      <sheetName val="10 - Long Term Loans &amp; Advances"/>
      <sheetName val="Note no. 12,13 &amp;14 "/>
      <sheetName val="Note 15 &amp;16"/>
      <sheetName val="Note 17 &amp; 18"/>
      <sheetName val="19. Other Expenses"/>
      <sheetName val="TB 2014-15"/>
      <sheetName val="Grouping - BS"/>
      <sheetName val="TB 12-13"/>
      <sheetName val="TB 13-14"/>
      <sheetName val="Sheet1"/>
      <sheetName val="Tax account"/>
      <sheetName val="FA List"/>
      <sheetName val="Adj JE"/>
      <sheetName val="Weighted Average 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k"/>
      <sheetName val="Ack (2)"/>
      <sheetName val="Page1"/>
      <sheetName val="Page2"/>
      <sheetName val="Page3"/>
      <sheetName val="Page4"/>
      <sheetName val="Page5"/>
      <sheetName val="Page6"/>
      <sheetName val="Page7"/>
      <sheetName val="Page8"/>
      <sheetName val="Page9"/>
      <sheetName val="Page10"/>
      <sheetName val="Directors"/>
      <sheetName val="Comp"/>
      <sheetName val="Ack "/>
      <sheetName val="Page8 "/>
      <sheetName val="Page10 "/>
      <sheetName val="Lists"/>
      <sheetName val="CRITERIA1"/>
      <sheetName val="#Lookup"/>
      <sheetName val="Schedule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BS_PL"/>
      <sheetName val="Cap"/>
      <sheetName val="Sch"/>
      <sheetName val="ITDepn"/>
      <sheetName val="Loan"/>
      <sheetName val="Ratios"/>
      <sheetName val="80 HHC"/>
      <sheetName val="World Times"/>
      <sheetName val="80_HHC"/>
      <sheetName val="World_Times"/>
      <sheetName val="Book1"/>
      <sheetName val="D Ashok &amp; Sons"/>
      <sheetName val="TB"/>
      <sheetName val="List_ratios"/>
      <sheetName val="Assumptions"/>
    </sheetNames>
    <sheetDataSet>
      <sheetData sheetId="0" refreshError="1"/>
      <sheetData sheetId="1" refreshError="1"/>
      <sheetData sheetId="2" refreshError="1">
        <row r="1">
          <cell r="H1" t="str">
            <v>D. ASHOK &amp; SONS</v>
          </cell>
        </row>
        <row r="2">
          <cell r="H2" t="str">
            <v>ASST YEAR 2001-2002</v>
          </cell>
        </row>
        <row r="3">
          <cell r="H3" t="str">
            <v>31-3-2001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lines"/>
      <sheetName val="Template Instructions"/>
      <sheetName val="Index"/>
      <sheetName val="1st Submission-&gt;"/>
      <sheetName val="BS"/>
      <sheetName val="IS"/>
      <sheetName val="OCI"/>
      <sheetName val="Equity"/>
      <sheetName val="Intercompany"/>
      <sheetName val="Other Equity"/>
      <sheetName val="Selected Financial Info 1"/>
      <sheetName val="Disposition Gains"/>
      <sheetName val="2nd Submission-&gt;"/>
      <sheetName val="Selected Financial Info 2"/>
      <sheetName val="Business Combinations"/>
      <sheetName val="Cashflow"/>
      <sheetName val="Continuities"/>
      <sheetName val="by Geography"/>
      <sheetName val="Current vs Non Current"/>
      <sheetName val="EAI"/>
      <sheetName val="Fair Value of Fin. Inst."/>
      <sheetName val="Fair Value other"/>
      <sheetName val="IS and BS Tax Supplemental"/>
      <sheetName val="OCI Tax Supplemental"/>
      <sheetName val="Risk Exposures"/>
      <sheetName val="Non Financial Information"/>
      <sheetName val="Capitalization"/>
      <sheetName val="AM Supplemental 1"/>
      <sheetName val="AM Supplemental 2"/>
      <sheetName val="AM Supplemental 3"/>
      <sheetName val="3rd Submission-&gt;"/>
      <sheetName val="Inventory"/>
      <sheetName val="Available for Sale"/>
      <sheetName val="Continuities A"/>
      <sheetName val="Valuation Metrics"/>
      <sheetName val="by Geography A"/>
      <sheetName val="Non Recourse Borrowings"/>
      <sheetName val="Assets Held for Sale"/>
      <sheetName val="Assets Pledged as Collateral"/>
      <sheetName val="Provisions"/>
      <sheetName val="FI - Netting"/>
      <sheetName val="Plan assets"/>
      <sheetName val="Related Party"/>
      <sheetName val="Derivatives and Hedging"/>
      <sheetName val="Contractual Obligations"/>
      <sheetName val="Workings -&gt;"/>
      <sheetName val="START"/>
      <sheetName val="Caption List"/>
      <sheetName val="BAM Financial Reporting Templat"/>
    </sheetNames>
    <sheetDataSet>
      <sheetData sheetId="0">
        <row r="5">
          <cell r="P5" t="str">
            <v>BREG</v>
          </cell>
        </row>
        <row r="7">
          <cell r="P7">
            <v>2014</v>
          </cell>
        </row>
        <row r="8">
          <cell r="P8" t="str">
            <v>Dec</v>
          </cell>
        </row>
      </sheetData>
      <sheetData sheetId="1">
        <row r="4">
          <cell r="L4">
            <v>42004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12">
          <cell r="AO12" t="str">
            <v>Valuation_Metrics</v>
          </cell>
          <cell r="AX12" t="str">
            <v>Continuity</v>
          </cell>
        </row>
        <row r="13">
          <cell r="AO13" t="str">
            <v>Caption Lookup</v>
          </cell>
          <cell r="AP13" t="str">
            <v>Platform</v>
          </cell>
          <cell r="AQ13" t="str">
            <v>Short</v>
          </cell>
          <cell r="AR13" t="str">
            <v>#</v>
          </cell>
          <cell r="AS13" t="str">
            <v>Business Line</v>
          </cell>
          <cell r="AX13" t="str">
            <v>Caption Lookup</v>
          </cell>
          <cell r="AY13" t="str">
            <v>Platform</v>
          </cell>
          <cell r="AZ13" t="str">
            <v>Short</v>
          </cell>
          <cell r="BA13" t="str">
            <v>#</v>
          </cell>
          <cell r="BB13" t="str">
            <v>Business Line</v>
          </cell>
          <cell r="CA13" t="str">
            <v>Applicable</v>
          </cell>
        </row>
        <row r="14">
          <cell r="BJ14">
            <v>2014</v>
          </cell>
          <cell r="CA14" t="str">
            <v>N/A</v>
          </cell>
        </row>
        <row r="15">
          <cell r="AO15" t="str">
            <v>AM1</v>
          </cell>
          <cell r="AP15" t="str">
            <v>Asset Management</v>
          </cell>
          <cell r="AQ15" t="str">
            <v>AM</v>
          </cell>
          <cell r="AR15">
            <v>1</v>
          </cell>
          <cell r="AS15" t="str">
            <v>Asset Management</v>
          </cell>
          <cell r="AT15" t="str">
            <v>Not Used</v>
          </cell>
          <cell r="AX15" t="str">
            <v>AM1</v>
          </cell>
          <cell r="AY15" t="str">
            <v>Asset Management</v>
          </cell>
          <cell r="AZ15" t="str">
            <v>AM</v>
          </cell>
          <cell r="BA15">
            <v>1</v>
          </cell>
          <cell r="BB15" t="str">
            <v>Asset Management</v>
          </cell>
          <cell r="BC15" t="str">
            <v>Not Used</v>
          </cell>
          <cell r="BJ15">
            <v>2015</v>
          </cell>
          <cell r="BM15" t="str">
            <v>Mar</v>
          </cell>
        </row>
        <row r="16">
          <cell r="BJ16">
            <v>2016</v>
          </cell>
          <cell r="BM16" t="str">
            <v>Jun</v>
          </cell>
        </row>
        <row r="17">
          <cell r="AO17" t="str">
            <v>BPG1</v>
          </cell>
          <cell r="AP17" t="str">
            <v>Property</v>
          </cell>
          <cell r="AQ17" t="str">
            <v>BPG</v>
          </cell>
          <cell r="AR17">
            <v>1</v>
          </cell>
          <cell r="AS17" t="str">
            <v>Office Properties</v>
          </cell>
          <cell r="AT17" t="str">
            <v>Office</v>
          </cell>
          <cell r="AX17" t="str">
            <v>BPG1</v>
          </cell>
          <cell r="AY17" t="str">
            <v>Property</v>
          </cell>
          <cell r="AZ17" t="str">
            <v>BPG</v>
          </cell>
          <cell r="BA17">
            <v>1</v>
          </cell>
          <cell r="BB17" t="str">
            <v>Office Properties</v>
          </cell>
          <cell r="BC17" t="str">
            <v>Office</v>
          </cell>
          <cell r="BJ17">
            <v>2017</v>
          </cell>
          <cell r="BM17" t="str">
            <v>Sep</v>
          </cell>
        </row>
        <row r="18">
          <cell r="AO18" t="str">
            <v>BPG2</v>
          </cell>
          <cell r="AP18" t="str">
            <v>Property</v>
          </cell>
          <cell r="AQ18" t="str">
            <v>BPG</v>
          </cell>
          <cell r="AR18">
            <v>2</v>
          </cell>
          <cell r="AS18" t="str">
            <v>Retail Properties</v>
          </cell>
          <cell r="AT18" t="str">
            <v>Retail</v>
          </cell>
          <cell r="AX18" t="str">
            <v>BPG2</v>
          </cell>
          <cell r="AY18" t="str">
            <v>Property</v>
          </cell>
          <cell r="AZ18" t="str">
            <v>BPG</v>
          </cell>
          <cell r="BA18">
            <v>2</v>
          </cell>
          <cell r="BB18" t="str">
            <v>Retail Properties</v>
          </cell>
          <cell r="BC18" t="str">
            <v>Retail</v>
          </cell>
          <cell r="BJ18">
            <v>2018</v>
          </cell>
          <cell r="BM18" t="str">
            <v>Dec</v>
          </cell>
        </row>
        <row r="19">
          <cell r="AO19" t="str">
            <v>BPG3</v>
          </cell>
          <cell r="AP19" t="str">
            <v>Property</v>
          </cell>
          <cell r="AQ19" t="str">
            <v>BPG</v>
          </cell>
          <cell r="AR19">
            <v>3</v>
          </cell>
          <cell r="AS19" t="str">
            <v>Industrial Multifamily and Hotel</v>
          </cell>
          <cell r="AT19" t="str">
            <v>BPY_Other</v>
          </cell>
          <cell r="AX19" t="str">
            <v>BPG3</v>
          </cell>
          <cell r="AY19" t="str">
            <v>Property</v>
          </cell>
          <cell r="AZ19" t="str">
            <v>BPG</v>
          </cell>
          <cell r="BA19">
            <v>3</v>
          </cell>
          <cell r="BB19" t="str">
            <v>Industrial Multifamily and Hotel</v>
          </cell>
          <cell r="BC19" t="str">
            <v>BPY_Other</v>
          </cell>
          <cell r="BJ19">
            <v>2019</v>
          </cell>
        </row>
        <row r="20">
          <cell r="AO20" t="str">
            <v>BPG4</v>
          </cell>
          <cell r="AP20" t="str">
            <v>Property</v>
          </cell>
          <cell r="AQ20" t="str">
            <v>BPG</v>
          </cell>
          <cell r="AR20">
            <v>4</v>
          </cell>
          <cell r="AS20" t="str">
            <v>Property Services</v>
          </cell>
          <cell r="AT20" t="str">
            <v>Prop_Serv</v>
          </cell>
          <cell r="AX20" t="str">
            <v>BPG4</v>
          </cell>
          <cell r="AY20" t="str">
            <v>Property</v>
          </cell>
          <cell r="AZ20" t="str">
            <v>BPG</v>
          </cell>
          <cell r="BA20">
            <v>4</v>
          </cell>
          <cell r="BB20" t="str">
            <v>Property Services</v>
          </cell>
          <cell r="BC20" t="str">
            <v>Prop_Serv</v>
          </cell>
          <cell r="BJ20">
            <v>2020</v>
          </cell>
        </row>
        <row r="21">
          <cell r="AO21" t="str">
            <v>BPG5</v>
          </cell>
          <cell r="AP21" t="str">
            <v>Property</v>
          </cell>
          <cell r="AQ21" t="str">
            <v>BPG</v>
          </cell>
          <cell r="AR21">
            <v>5</v>
          </cell>
          <cell r="AS21" t="str">
            <v>Corporate / Unallocated</v>
          </cell>
          <cell r="AT21" t="str">
            <v>BPY_Corporate</v>
          </cell>
          <cell r="AX21" t="str">
            <v>BPG5</v>
          </cell>
          <cell r="AY21" t="str">
            <v>Property</v>
          </cell>
          <cell r="AZ21" t="str">
            <v>BPG</v>
          </cell>
          <cell r="BA21">
            <v>5</v>
          </cell>
          <cell r="BB21" t="str">
            <v>Corporate / Unallocated</v>
          </cell>
          <cell r="BC21" t="str">
            <v>BPY_Corporate</v>
          </cell>
          <cell r="BJ21">
            <v>2021</v>
          </cell>
        </row>
        <row r="22">
          <cell r="AO22" t="str">
            <v>BPG6</v>
          </cell>
          <cell r="AP22" t="str">
            <v>Property</v>
          </cell>
          <cell r="AQ22" t="str">
            <v>BPG</v>
          </cell>
          <cell r="AR22">
            <v>6</v>
          </cell>
          <cell r="AS22" t="str">
            <v>Weighted Average Total</v>
          </cell>
          <cell r="AT22" t="str">
            <v>Weighted_Avg_Total</v>
          </cell>
          <cell r="AX22" t="str">
            <v>BREG1</v>
          </cell>
          <cell r="AY22" t="str">
            <v>Power</v>
          </cell>
          <cell r="AZ22" t="str">
            <v>BREG</v>
          </cell>
          <cell r="BA22">
            <v>1</v>
          </cell>
          <cell r="BB22" t="str">
            <v>Hydro</v>
          </cell>
          <cell r="BC22" t="str">
            <v>Hydrology</v>
          </cell>
          <cell r="BJ22">
            <v>2022</v>
          </cell>
        </row>
        <row r="23">
          <cell r="AO23" t="str">
            <v>BREG1</v>
          </cell>
          <cell r="AP23" t="str">
            <v>Power</v>
          </cell>
          <cell r="AQ23" t="str">
            <v>BREG</v>
          </cell>
          <cell r="AR23">
            <v>1</v>
          </cell>
          <cell r="AS23" t="str">
            <v>Hydro</v>
          </cell>
          <cell r="AT23" t="str">
            <v>Hydrology</v>
          </cell>
          <cell r="AX23" t="str">
            <v>BREG2</v>
          </cell>
          <cell r="AY23" t="str">
            <v>Power</v>
          </cell>
          <cell r="AZ23" t="str">
            <v>BREG</v>
          </cell>
          <cell r="BA23">
            <v>2</v>
          </cell>
          <cell r="BB23" t="str">
            <v>Wind</v>
          </cell>
          <cell r="BC23" t="str">
            <v>Wind</v>
          </cell>
          <cell r="BJ23">
            <v>2023</v>
          </cell>
        </row>
        <row r="24">
          <cell r="AO24" t="str">
            <v>BREG2</v>
          </cell>
          <cell r="AP24" t="str">
            <v>Power</v>
          </cell>
          <cell r="AQ24" t="str">
            <v>BREG</v>
          </cell>
          <cell r="AR24">
            <v>2</v>
          </cell>
          <cell r="AS24" t="str">
            <v>Wind</v>
          </cell>
          <cell r="AT24" t="str">
            <v>Wind</v>
          </cell>
          <cell r="AX24" t="str">
            <v>BREG3</v>
          </cell>
          <cell r="AY24" t="str">
            <v>Power</v>
          </cell>
          <cell r="AZ24" t="str">
            <v>BREG</v>
          </cell>
          <cell r="BA24">
            <v>3</v>
          </cell>
          <cell r="BB24" t="str">
            <v>Other</v>
          </cell>
          <cell r="BC24" t="str">
            <v>BREP_Other</v>
          </cell>
          <cell r="BJ24">
            <v>2024</v>
          </cell>
        </row>
        <row r="25">
          <cell r="AO25" t="str">
            <v>BREG3</v>
          </cell>
          <cell r="AP25" t="str">
            <v>Power</v>
          </cell>
          <cell r="AQ25" t="str">
            <v>BREG</v>
          </cell>
          <cell r="AR25">
            <v>3</v>
          </cell>
          <cell r="AS25" t="str">
            <v>Other</v>
          </cell>
          <cell r="AT25" t="str">
            <v>BREP_Other</v>
          </cell>
          <cell r="AX25" t="str">
            <v>BREG4</v>
          </cell>
          <cell r="AY25" t="str">
            <v>Power</v>
          </cell>
          <cell r="AZ25" t="str">
            <v>BREG</v>
          </cell>
          <cell r="BA25">
            <v>4</v>
          </cell>
          <cell r="BB25" t="str">
            <v>Corporate / Unallocated</v>
          </cell>
          <cell r="BC25" t="str">
            <v>BREP_Corporate</v>
          </cell>
        </row>
        <row r="26">
          <cell r="AO26" t="str">
            <v>BREG4</v>
          </cell>
          <cell r="AP26" t="str">
            <v>Power</v>
          </cell>
          <cell r="AQ26" t="str">
            <v>BREG</v>
          </cell>
          <cell r="AR26">
            <v>4</v>
          </cell>
          <cell r="AS26" t="str">
            <v>Corporate / Unallocated</v>
          </cell>
          <cell r="AT26" t="str">
            <v>BREP_Corporate</v>
          </cell>
          <cell r="AX26" t="str">
            <v>BREG5</v>
          </cell>
          <cell r="AY26" t="str">
            <v>Power</v>
          </cell>
          <cell r="AZ26" t="str">
            <v>BREG</v>
          </cell>
          <cell r="BA26">
            <v>5</v>
          </cell>
          <cell r="BB26" t="str">
            <v>N/A</v>
          </cell>
        </row>
        <row r="27">
          <cell r="AO27" t="str">
            <v>BREG5</v>
          </cell>
          <cell r="AP27" t="str">
            <v>Power</v>
          </cell>
          <cell r="AQ27" t="str">
            <v>BREG</v>
          </cell>
          <cell r="AR27">
            <v>5</v>
          </cell>
          <cell r="AS27" t="str">
            <v>N/A</v>
          </cell>
          <cell r="AX27" t="str">
            <v>BIG1</v>
          </cell>
          <cell r="AY27" t="str">
            <v>Infrastructure</v>
          </cell>
          <cell r="AZ27" t="str">
            <v>BIG</v>
          </cell>
          <cell r="BA27">
            <v>1</v>
          </cell>
          <cell r="BB27" t="str">
            <v>Utilities</v>
          </cell>
          <cell r="BC27" t="str">
            <v>Utilities</v>
          </cell>
        </row>
        <row r="28">
          <cell r="AO28" t="str">
            <v>BREG6</v>
          </cell>
          <cell r="AP28" t="str">
            <v>Power</v>
          </cell>
          <cell r="AQ28" t="str">
            <v>BREG</v>
          </cell>
          <cell r="AR28">
            <v>6</v>
          </cell>
          <cell r="AS28" t="str">
            <v>Weighted Average Total</v>
          </cell>
          <cell r="AT28" t="str">
            <v>Weighted_Avg_Total</v>
          </cell>
          <cell r="AX28" t="str">
            <v>BIG2</v>
          </cell>
          <cell r="AY28" t="str">
            <v>Infrastructure</v>
          </cell>
          <cell r="AZ28" t="str">
            <v>BIG</v>
          </cell>
          <cell r="BA28">
            <v>2</v>
          </cell>
          <cell r="BB28" t="str">
            <v>Transport</v>
          </cell>
          <cell r="BC28" t="str">
            <v>Transportation</v>
          </cell>
        </row>
        <row r="29">
          <cell r="AO29" t="str">
            <v>BIG1</v>
          </cell>
          <cell r="AP29" t="str">
            <v>Infrastructure</v>
          </cell>
          <cell r="AQ29" t="str">
            <v>BIG</v>
          </cell>
          <cell r="AR29">
            <v>1</v>
          </cell>
          <cell r="AS29" t="str">
            <v>Utilities</v>
          </cell>
          <cell r="AT29" t="str">
            <v>Utilities</v>
          </cell>
          <cell r="AX29" t="str">
            <v>BIG3</v>
          </cell>
          <cell r="AY29" t="str">
            <v>Infrastructure</v>
          </cell>
          <cell r="AZ29" t="str">
            <v>BIG</v>
          </cell>
          <cell r="BA29">
            <v>3</v>
          </cell>
          <cell r="BB29" t="str">
            <v>Energy</v>
          </cell>
          <cell r="BC29" t="str">
            <v>Energy</v>
          </cell>
        </row>
        <row r="30">
          <cell r="AO30" t="str">
            <v>BIG2</v>
          </cell>
          <cell r="AP30" t="str">
            <v>Infrastructure</v>
          </cell>
          <cell r="AQ30" t="str">
            <v>BIG</v>
          </cell>
          <cell r="AR30">
            <v>2</v>
          </cell>
          <cell r="AS30" t="str">
            <v>Transport</v>
          </cell>
          <cell r="AT30" t="str">
            <v>Transportation</v>
          </cell>
          <cell r="AX30" t="str">
            <v>BIG4</v>
          </cell>
          <cell r="AY30" t="str">
            <v>Infrastructure</v>
          </cell>
          <cell r="AZ30" t="str">
            <v>BIG</v>
          </cell>
          <cell r="BA30">
            <v>4</v>
          </cell>
          <cell r="BB30" t="str">
            <v>Sustainable Resources</v>
          </cell>
          <cell r="BC30" t="str">
            <v>Sust_Resources</v>
          </cell>
        </row>
        <row r="31">
          <cell r="AO31" t="str">
            <v>BIG3</v>
          </cell>
          <cell r="AP31" t="str">
            <v>Infrastructure</v>
          </cell>
          <cell r="AQ31" t="str">
            <v>BIG</v>
          </cell>
          <cell r="AR31">
            <v>3</v>
          </cell>
          <cell r="AS31" t="str">
            <v>Energy</v>
          </cell>
          <cell r="AT31" t="str">
            <v>Energy</v>
          </cell>
          <cell r="AX31" t="str">
            <v>BIG5</v>
          </cell>
          <cell r="AY31" t="str">
            <v>Infrastructure</v>
          </cell>
          <cell r="AZ31" t="str">
            <v>BIG</v>
          </cell>
          <cell r="BA31">
            <v>5</v>
          </cell>
          <cell r="BB31" t="str">
            <v>Corporate / Unallocated</v>
          </cell>
          <cell r="BC31" t="str">
            <v>BIP_Corporate</v>
          </cell>
        </row>
        <row r="32">
          <cell r="AO32" t="str">
            <v>BIG4</v>
          </cell>
          <cell r="AP32" t="str">
            <v>Infrastructure</v>
          </cell>
          <cell r="AQ32" t="str">
            <v>BIG</v>
          </cell>
          <cell r="AR32">
            <v>4</v>
          </cell>
          <cell r="AS32" t="str">
            <v>Sustainable Resources</v>
          </cell>
          <cell r="AT32" t="str">
            <v>Sust_Resources</v>
          </cell>
        </row>
        <row r="33">
          <cell r="AO33" t="str">
            <v>BIG5</v>
          </cell>
          <cell r="AP33" t="str">
            <v>Infrastructure</v>
          </cell>
          <cell r="AQ33" t="str">
            <v>BIG</v>
          </cell>
          <cell r="AR33">
            <v>5</v>
          </cell>
          <cell r="AS33" t="str">
            <v>Corporate / Unallocated</v>
          </cell>
          <cell r="AT33" t="str">
            <v>BIP_Corporate</v>
          </cell>
        </row>
        <row r="34">
          <cell r="AO34" t="str">
            <v>BIG6</v>
          </cell>
          <cell r="AP34" t="str">
            <v>Infrastructure</v>
          </cell>
          <cell r="AQ34" t="str">
            <v>BIG</v>
          </cell>
          <cell r="AR34">
            <v>6</v>
          </cell>
          <cell r="AS34" t="str">
            <v>Weighted Average Total</v>
          </cell>
          <cell r="AT34" t="str">
            <v>Weighted_Avg_Total</v>
          </cell>
        </row>
      </sheetData>
      <sheetData sheetId="4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etailed TB"/>
      <sheetName val="Detailed BS"/>
      <sheetName val="807D1A58ED254606AF86E17C62B2C4F"/>
      <sheetName val="332235D202E04493838B12C38995FCB"/>
      <sheetName val="Continuity PL"/>
      <sheetName val="Net Revenue Detailed"/>
    </sheetNames>
    <sheetDataSet>
      <sheetData sheetId="0">
        <row r="2">
          <cell r="A2" t="str">
            <v>Entity: Brookfield Global Relocation Services Limited</v>
          </cell>
        </row>
        <row r="3">
          <cell r="A3" t="str">
            <v>For the period ending March, 2018</v>
          </cell>
          <cell r="F3" t="str">
            <v>BGRS_Can.BGRSL - Brookfield Global Relocation Services Limited</v>
          </cell>
        </row>
        <row r="4">
          <cell r="A4" t="str">
            <v>All amounts in &lt;Entity Curr Total&gt; (CAD)</v>
          </cell>
        </row>
        <row r="5">
          <cell r="A5" t="str">
            <v>4.6.18 1:17 PM</v>
          </cell>
          <cell r="D5" t="str">
            <v>&lt;Entity Curr Total&gt;</v>
          </cell>
        </row>
        <row r="6">
          <cell r="D6" t="str">
            <v>2018</v>
          </cell>
        </row>
        <row r="7">
          <cell r="D7" t="str">
            <v>March</v>
          </cell>
        </row>
        <row r="8">
          <cell r="D8" t="str">
            <v>Mar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Journal Entries"/>
      <sheetName val="STEPS&gt;&gt;&gt;"/>
      <sheetName val="Step 1 - Current Taxes"/>
      <sheetName val="Step 2 - Return-to-Provision"/>
      <sheetName val="Step 3 - Future Taxes"/>
      <sheetName val="Step 3 - Tax Rates"/>
      <sheetName val="Step 4 - Tax Account Analysis"/>
      <sheetName val="Step 5 - Rate Reconciliation"/>
      <sheetName val="CASE FACT&gt;&gt;&gt;"/>
      <sheetName val="2018 TWP "/>
      <sheetName val="Trial Balances"/>
      <sheetName val="CCA Sch"/>
      <sheetName val="2018 T2Schedule 1"/>
    </sheetNames>
    <sheetDataSet>
      <sheetData sheetId="0"/>
      <sheetData sheetId="1"/>
      <sheetData sheetId="2"/>
      <sheetData sheetId="3">
        <row r="8">
          <cell r="E8">
            <v>2818000</v>
          </cell>
        </row>
        <row r="226">
          <cell r="E226">
            <v>862045</v>
          </cell>
        </row>
      </sheetData>
      <sheetData sheetId="4"/>
      <sheetData sheetId="5">
        <row r="90">
          <cell r="M90">
            <v>99375</v>
          </cell>
        </row>
      </sheetData>
      <sheetData sheetId="6"/>
      <sheetData sheetId="7"/>
      <sheetData sheetId="8">
        <row r="21">
          <cell r="F21">
            <v>0.26500000000000001</v>
          </cell>
        </row>
        <row r="39">
          <cell r="E39">
            <v>0.26500000000000001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kks vs. records (2)"/>
      <sheetName val="Bokks vs. records"/>
      <sheetName val="Service tax payments"/>
      <sheetName val="Interest - Corporation bank"/>
      <sheetName val="ICICI &amp; TMBL interest"/>
      <sheetName val="Gratuity"/>
      <sheetName val="Bonus"/>
      <sheetName val="PL-paid (given by Bodena Sir)"/>
      <sheetName val="PL"/>
      <sheetName val="bodenna-sales-2008"/>
    </sheetNames>
    <sheetDataSet>
      <sheetData sheetId="0"/>
      <sheetData sheetId="1" refreshError="1"/>
      <sheetData sheetId="2" refreshError="1"/>
      <sheetData sheetId="3" refreshError="1"/>
      <sheetData sheetId="4">
        <row r="4">
          <cell r="J4">
            <v>3997594.5</v>
          </cell>
        </row>
        <row r="5">
          <cell r="J5">
            <v>115583</v>
          </cell>
        </row>
        <row r="6">
          <cell r="J6">
            <v>1406509</v>
          </cell>
        </row>
        <row r="7">
          <cell r="J7">
            <v>373421</v>
          </cell>
        </row>
        <row r="8">
          <cell r="J8">
            <v>353</v>
          </cell>
        </row>
        <row r="9">
          <cell r="J9">
            <v>487661.6</v>
          </cell>
        </row>
        <row r="10">
          <cell r="J10">
            <v>100486</v>
          </cell>
        </row>
        <row r="11">
          <cell r="J11">
            <v>101264</v>
          </cell>
        </row>
        <row r="12">
          <cell r="J12">
            <v>102452</v>
          </cell>
        </row>
        <row r="13">
          <cell r="J13">
            <v>226073</v>
          </cell>
        </row>
        <row r="14">
          <cell r="J14">
            <v>388300</v>
          </cell>
        </row>
        <row r="15">
          <cell r="J15">
            <v>-190906</v>
          </cell>
        </row>
        <row r="16">
          <cell r="J16">
            <v>53710</v>
          </cell>
        </row>
        <row r="17">
          <cell r="J17">
            <v>14267</v>
          </cell>
        </row>
        <row r="18">
          <cell r="J18">
            <v>40701</v>
          </cell>
        </row>
        <row r="19">
          <cell r="J19">
            <v>131757</v>
          </cell>
        </row>
        <row r="20">
          <cell r="J20">
            <v>56242</v>
          </cell>
        </row>
        <row r="21">
          <cell r="J21">
            <v>14939</v>
          </cell>
        </row>
        <row r="22">
          <cell r="J22">
            <v>42621</v>
          </cell>
        </row>
        <row r="23">
          <cell r="J23">
            <v>137969</v>
          </cell>
        </row>
        <row r="24">
          <cell r="J24">
            <v>104885</v>
          </cell>
        </row>
        <row r="25">
          <cell r="J25">
            <v>97021</v>
          </cell>
        </row>
        <row r="26">
          <cell r="J26">
            <v>93163</v>
          </cell>
        </row>
        <row r="27">
          <cell r="J27">
            <v>97766</v>
          </cell>
        </row>
        <row r="28">
          <cell r="J28">
            <v>90553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os"/>
      <sheetName val="Summary"/>
      <sheetName val="Main Sheet"/>
      <sheetName val="VRXP"/>
      <sheetName val="V.Ins"/>
      <sheetName val="Sw"/>
      <sheetName val="Rent others"/>
      <sheetName val="Rent Guest House Actual"/>
      <sheetName val="Int. on HP"/>
      <sheetName val="Fuel Charges"/>
      <sheetName val="Subscription"/>
      <sheetName val="Entertainment"/>
      <sheetName val="SIE Admin &amp; Corp"/>
      <sheetName val="4219020-SIE Advert"/>
      <sheetName val="4219021-SIE P&amp;S"/>
      <sheetName val="Dont Alter"/>
      <sheetName val="Sheet1"/>
      <sheetName val="Fbt SANDE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D2">
            <v>2090</v>
          </cell>
        </row>
        <row r="3">
          <cell r="D3">
            <v>10658</v>
          </cell>
        </row>
        <row r="4">
          <cell r="D4">
            <v>414</v>
          </cell>
        </row>
        <row r="5">
          <cell r="D5">
            <v>5000</v>
          </cell>
        </row>
        <row r="6">
          <cell r="D6">
            <v>3274.12</v>
          </cell>
        </row>
        <row r="7">
          <cell r="D7">
            <v>1515</v>
          </cell>
        </row>
        <row r="8">
          <cell r="D8">
            <v>2080.86</v>
          </cell>
        </row>
        <row r="9">
          <cell r="D9">
            <v>110</v>
          </cell>
        </row>
        <row r="10">
          <cell r="D10">
            <v>1650</v>
          </cell>
        </row>
        <row r="11">
          <cell r="D11">
            <v>20000</v>
          </cell>
        </row>
        <row r="12">
          <cell r="D12">
            <v>89888</v>
          </cell>
        </row>
        <row r="13">
          <cell r="D13">
            <v>70000</v>
          </cell>
        </row>
        <row r="14">
          <cell r="D14">
            <v>1150</v>
          </cell>
        </row>
        <row r="15">
          <cell r="D15">
            <v>3160.35</v>
          </cell>
        </row>
        <row r="16">
          <cell r="D16">
            <v>11242</v>
          </cell>
        </row>
        <row r="17">
          <cell r="D17">
            <v>1200</v>
          </cell>
        </row>
        <row r="18">
          <cell r="D18">
            <v>581</v>
          </cell>
        </row>
        <row r="19">
          <cell r="D19">
            <v>60</v>
          </cell>
        </row>
        <row r="20">
          <cell r="D20">
            <v>180</v>
          </cell>
        </row>
        <row r="21">
          <cell r="D21">
            <v>380</v>
          </cell>
        </row>
        <row r="22">
          <cell r="D22">
            <v>4000</v>
          </cell>
        </row>
        <row r="23">
          <cell r="D23">
            <v>1070</v>
          </cell>
        </row>
        <row r="24">
          <cell r="D24">
            <v>4993000</v>
          </cell>
        </row>
        <row r="25">
          <cell r="D25">
            <v>1500000</v>
          </cell>
        </row>
        <row r="26">
          <cell r="D26">
            <v>1714000</v>
          </cell>
        </row>
        <row r="27">
          <cell r="D27">
            <v>1870130</v>
          </cell>
        </row>
        <row r="28">
          <cell r="D28">
            <v>-4993000</v>
          </cell>
        </row>
        <row r="29">
          <cell r="D29">
            <v>1403500</v>
          </cell>
        </row>
        <row r="30">
          <cell r="D30">
            <v>1247580</v>
          </cell>
        </row>
        <row r="31">
          <cell r="D31">
            <v>623800</v>
          </cell>
        </row>
        <row r="32">
          <cell r="D32">
            <v>155800</v>
          </cell>
        </row>
        <row r="33">
          <cell r="D33">
            <v>-10000</v>
          </cell>
        </row>
        <row r="34">
          <cell r="D34">
            <v>4993000</v>
          </cell>
        </row>
        <row r="35">
          <cell r="D35">
            <v>-1500000</v>
          </cell>
        </row>
        <row r="36">
          <cell r="D36">
            <v>-11997810</v>
          </cell>
        </row>
        <row r="37">
          <cell r="D37">
            <v>-1539610</v>
          </cell>
        </row>
        <row r="38">
          <cell r="D38">
            <v>-1679854</v>
          </cell>
        </row>
        <row r="39">
          <cell r="D39">
            <v>-1260702</v>
          </cell>
        </row>
        <row r="40">
          <cell r="D40">
            <v>-560332</v>
          </cell>
        </row>
        <row r="41">
          <cell r="D41">
            <v>-1120646</v>
          </cell>
        </row>
        <row r="42">
          <cell r="D42">
            <v>-4484990</v>
          </cell>
        </row>
        <row r="43">
          <cell r="D43">
            <v>-130966</v>
          </cell>
        </row>
        <row r="44">
          <cell r="D44">
            <v>1500000</v>
          </cell>
        </row>
        <row r="45">
          <cell r="D45">
            <v>405</v>
          </cell>
        </row>
        <row r="46">
          <cell r="D46">
            <v>55000</v>
          </cell>
        </row>
        <row r="47">
          <cell r="D47">
            <v>240</v>
          </cell>
        </row>
        <row r="48">
          <cell r="D48">
            <v>130</v>
          </cell>
        </row>
        <row r="49">
          <cell r="D49">
            <v>3371</v>
          </cell>
        </row>
        <row r="50">
          <cell r="D50">
            <v>60</v>
          </cell>
        </row>
        <row r="51">
          <cell r="D51">
            <v>100</v>
          </cell>
        </row>
        <row r="52">
          <cell r="D52">
            <v>5282850</v>
          </cell>
        </row>
        <row r="53">
          <cell r="D53">
            <v>7717150</v>
          </cell>
        </row>
        <row r="54">
          <cell r="D54">
            <v>-1002190</v>
          </cell>
        </row>
        <row r="55">
          <cell r="D55">
            <v>-60</v>
          </cell>
        </row>
        <row r="56">
          <cell r="D56">
            <v>500</v>
          </cell>
        </row>
        <row r="57">
          <cell r="D57">
            <v>2078</v>
          </cell>
        </row>
        <row r="58">
          <cell r="D58">
            <v>210</v>
          </cell>
        </row>
        <row r="59">
          <cell r="D59">
            <v>300</v>
          </cell>
        </row>
        <row r="60">
          <cell r="D60">
            <v>150</v>
          </cell>
        </row>
        <row r="61">
          <cell r="D61">
            <v>300</v>
          </cell>
        </row>
        <row r="62">
          <cell r="D62">
            <v>204</v>
          </cell>
        </row>
        <row r="63">
          <cell r="D63">
            <v>103</v>
          </cell>
        </row>
        <row r="64">
          <cell r="D64">
            <v>112700</v>
          </cell>
        </row>
        <row r="65">
          <cell r="D65">
            <v>700</v>
          </cell>
        </row>
        <row r="66">
          <cell r="D66">
            <v>1040</v>
          </cell>
        </row>
        <row r="67">
          <cell r="D67">
            <v>105</v>
          </cell>
        </row>
        <row r="68">
          <cell r="D68">
            <v>1515</v>
          </cell>
        </row>
        <row r="69">
          <cell r="D69">
            <v>600</v>
          </cell>
        </row>
        <row r="70">
          <cell r="D70">
            <v>2000</v>
          </cell>
        </row>
        <row r="71">
          <cell r="D71">
            <v>11633</v>
          </cell>
        </row>
        <row r="72">
          <cell r="D72">
            <v>45660</v>
          </cell>
        </row>
        <row r="73">
          <cell r="D73">
            <v>-11633</v>
          </cell>
        </row>
        <row r="74">
          <cell r="D74">
            <v>-45660</v>
          </cell>
        </row>
        <row r="75">
          <cell r="D75">
            <v>1500</v>
          </cell>
        </row>
        <row r="76">
          <cell r="D76">
            <v>750</v>
          </cell>
        </row>
        <row r="77">
          <cell r="D77">
            <v>3926</v>
          </cell>
        </row>
        <row r="78">
          <cell r="D78">
            <v>600</v>
          </cell>
        </row>
        <row r="79">
          <cell r="D79">
            <v>174390</v>
          </cell>
        </row>
        <row r="80">
          <cell r="D80">
            <v>190276</v>
          </cell>
        </row>
        <row r="81">
          <cell r="D81">
            <v>142799</v>
          </cell>
        </row>
        <row r="82">
          <cell r="D82">
            <v>126935</v>
          </cell>
        </row>
        <row r="83">
          <cell r="D83">
            <v>508011</v>
          </cell>
        </row>
        <row r="84">
          <cell r="D84">
            <v>63468</v>
          </cell>
        </row>
        <row r="85">
          <cell r="D85">
            <v>14834</v>
          </cell>
        </row>
        <row r="86">
          <cell r="D86">
            <v>110</v>
          </cell>
        </row>
        <row r="87">
          <cell r="D87">
            <v>400</v>
          </cell>
        </row>
        <row r="88">
          <cell r="D88">
            <v>3630.6</v>
          </cell>
        </row>
        <row r="89">
          <cell r="D89">
            <v>-517</v>
          </cell>
        </row>
        <row r="90">
          <cell r="D90">
            <v>-1109027</v>
          </cell>
        </row>
        <row r="91">
          <cell r="D91">
            <v>1109027</v>
          </cell>
        </row>
        <row r="92">
          <cell r="D92">
            <v>-686704.38</v>
          </cell>
        </row>
        <row r="93">
          <cell r="D93">
            <v>763102.21</v>
          </cell>
        </row>
        <row r="94">
          <cell r="D94">
            <v>65</v>
          </cell>
        </row>
        <row r="95">
          <cell r="D95">
            <v>385</v>
          </cell>
        </row>
        <row r="96">
          <cell r="D96">
            <v>100000</v>
          </cell>
        </row>
        <row r="97">
          <cell r="D97">
            <v>330</v>
          </cell>
        </row>
        <row r="98">
          <cell r="D98">
            <v>116258</v>
          </cell>
        </row>
        <row r="99">
          <cell r="D99">
            <v>116258</v>
          </cell>
        </row>
        <row r="100">
          <cell r="D100">
            <v>-683701.24</v>
          </cell>
        </row>
        <row r="101">
          <cell r="D101">
            <v>683701.24</v>
          </cell>
        </row>
        <row r="102">
          <cell r="D102">
            <v>686704.38</v>
          </cell>
        </row>
        <row r="103">
          <cell r="D103">
            <v>3631</v>
          </cell>
        </row>
        <row r="104">
          <cell r="D104">
            <v>25027</v>
          </cell>
        </row>
        <row r="105">
          <cell r="D105">
            <v>120</v>
          </cell>
        </row>
        <row r="106">
          <cell r="D106">
            <v>250</v>
          </cell>
        </row>
        <row r="107">
          <cell r="D107">
            <v>2375</v>
          </cell>
        </row>
        <row r="108">
          <cell r="D108">
            <v>210</v>
          </cell>
        </row>
        <row r="109">
          <cell r="D109">
            <v>3631</v>
          </cell>
        </row>
        <row r="110">
          <cell r="D110">
            <v>2500</v>
          </cell>
        </row>
        <row r="111">
          <cell r="D111">
            <v>8000</v>
          </cell>
        </row>
        <row r="112">
          <cell r="D112">
            <v>155</v>
          </cell>
        </row>
        <row r="113">
          <cell r="D113">
            <v>360</v>
          </cell>
        </row>
        <row r="114">
          <cell r="D114">
            <v>240</v>
          </cell>
        </row>
        <row r="115">
          <cell r="D115">
            <v>120</v>
          </cell>
        </row>
        <row r="116">
          <cell r="D116">
            <v>600</v>
          </cell>
        </row>
        <row r="117">
          <cell r="D117">
            <v>60</v>
          </cell>
        </row>
        <row r="118">
          <cell r="D118">
            <v>360</v>
          </cell>
        </row>
        <row r="119">
          <cell r="D119">
            <v>63469</v>
          </cell>
        </row>
        <row r="120">
          <cell r="D120">
            <v>3631</v>
          </cell>
        </row>
        <row r="121">
          <cell r="D121">
            <v>6240</v>
          </cell>
        </row>
        <row r="122">
          <cell r="D122">
            <v>180</v>
          </cell>
        </row>
        <row r="123">
          <cell r="D123">
            <v>4190</v>
          </cell>
        </row>
        <row r="124">
          <cell r="D124">
            <v>142799</v>
          </cell>
        </row>
        <row r="125">
          <cell r="D125">
            <v>470</v>
          </cell>
        </row>
        <row r="126">
          <cell r="D126">
            <v>120</v>
          </cell>
        </row>
        <row r="127">
          <cell r="D127">
            <v>120</v>
          </cell>
        </row>
        <row r="128">
          <cell r="D128">
            <v>2437</v>
          </cell>
        </row>
        <row r="129">
          <cell r="D129">
            <v>190275</v>
          </cell>
        </row>
        <row r="130">
          <cell r="D130">
            <v>126935</v>
          </cell>
        </row>
        <row r="131">
          <cell r="D131">
            <v>508010</v>
          </cell>
        </row>
        <row r="132">
          <cell r="D132">
            <v>3631</v>
          </cell>
        </row>
        <row r="133">
          <cell r="D133">
            <v>110</v>
          </cell>
        </row>
        <row r="134">
          <cell r="D134">
            <v>90000</v>
          </cell>
        </row>
        <row r="135">
          <cell r="D135">
            <v>110</v>
          </cell>
        </row>
        <row r="136">
          <cell r="D136">
            <v>180</v>
          </cell>
        </row>
        <row r="137">
          <cell r="D137">
            <v>50000</v>
          </cell>
        </row>
        <row r="138">
          <cell r="D138">
            <v>2990</v>
          </cell>
        </row>
        <row r="139">
          <cell r="D139">
            <v>48620</v>
          </cell>
        </row>
        <row r="140">
          <cell r="D140">
            <v>18232.5</v>
          </cell>
        </row>
        <row r="141">
          <cell r="D141">
            <v>12155</v>
          </cell>
        </row>
        <row r="142">
          <cell r="D142">
            <v>-180</v>
          </cell>
        </row>
        <row r="143">
          <cell r="D143">
            <v>180</v>
          </cell>
        </row>
        <row r="144">
          <cell r="D144">
            <v>2400</v>
          </cell>
        </row>
        <row r="145">
          <cell r="D145">
            <v>5625</v>
          </cell>
        </row>
        <row r="146">
          <cell r="D146">
            <v>1950</v>
          </cell>
        </row>
        <row r="147">
          <cell r="D147">
            <v>3631</v>
          </cell>
        </row>
        <row r="148">
          <cell r="D148">
            <v>-100000</v>
          </cell>
        </row>
        <row r="149">
          <cell r="D149">
            <v>4600</v>
          </cell>
        </row>
        <row r="150">
          <cell r="D150">
            <v>5000</v>
          </cell>
        </row>
        <row r="151">
          <cell r="D151">
            <v>25000</v>
          </cell>
        </row>
        <row r="152">
          <cell r="D152">
            <v>25000</v>
          </cell>
        </row>
        <row r="153">
          <cell r="D153">
            <v>1985</v>
          </cell>
        </row>
        <row r="154">
          <cell r="D154">
            <v>7311</v>
          </cell>
        </row>
        <row r="155">
          <cell r="D155">
            <v>126933</v>
          </cell>
        </row>
        <row r="156">
          <cell r="D156">
            <v>-174390</v>
          </cell>
        </row>
        <row r="157">
          <cell r="D157">
            <v>50822</v>
          </cell>
        </row>
        <row r="158">
          <cell r="D158">
            <v>20000</v>
          </cell>
        </row>
        <row r="159">
          <cell r="D159">
            <v>190276</v>
          </cell>
        </row>
        <row r="160">
          <cell r="D160">
            <v>100</v>
          </cell>
        </row>
        <row r="161">
          <cell r="D161">
            <v>2500</v>
          </cell>
        </row>
        <row r="162">
          <cell r="D162">
            <v>3780</v>
          </cell>
        </row>
        <row r="163">
          <cell r="D163">
            <v>5000</v>
          </cell>
        </row>
        <row r="164">
          <cell r="D164">
            <v>950</v>
          </cell>
        </row>
        <row r="165">
          <cell r="D165">
            <v>6864</v>
          </cell>
        </row>
        <row r="166">
          <cell r="D166">
            <v>3631</v>
          </cell>
        </row>
        <row r="167">
          <cell r="D167">
            <v>29669</v>
          </cell>
        </row>
        <row r="168">
          <cell r="D168">
            <v>63469</v>
          </cell>
        </row>
        <row r="169">
          <cell r="D169">
            <v>142799</v>
          </cell>
        </row>
        <row r="170">
          <cell r="D170">
            <v>-1500000</v>
          </cell>
        </row>
        <row r="171">
          <cell r="D171">
            <v>508012</v>
          </cell>
        </row>
      </sheetData>
      <sheetData sheetId="11"/>
      <sheetData sheetId="12"/>
      <sheetData sheetId="13">
        <row r="2">
          <cell r="H2">
            <v>81600</v>
          </cell>
        </row>
        <row r="3">
          <cell r="H3">
            <v>1219967</v>
          </cell>
        </row>
        <row r="4">
          <cell r="H4">
            <v>15548191</v>
          </cell>
        </row>
        <row r="5">
          <cell r="H5">
            <v>18360</v>
          </cell>
        </row>
        <row r="6">
          <cell r="H6">
            <v>400</v>
          </cell>
        </row>
        <row r="7">
          <cell r="H7">
            <v>15482094</v>
          </cell>
        </row>
        <row r="8">
          <cell r="H8">
            <v>256000</v>
          </cell>
        </row>
        <row r="9">
          <cell r="H9">
            <v>561800</v>
          </cell>
        </row>
        <row r="10">
          <cell r="H10">
            <v>730117</v>
          </cell>
        </row>
        <row r="11">
          <cell r="H11">
            <v>103459</v>
          </cell>
        </row>
        <row r="12">
          <cell r="H12">
            <v>938320</v>
          </cell>
        </row>
        <row r="13">
          <cell r="H13">
            <v>143035</v>
          </cell>
        </row>
        <row r="14">
          <cell r="H14">
            <v>998880</v>
          </cell>
        </row>
        <row r="15">
          <cell r="H15">
            <v>-1011240</v>
          </cell>
        </row>
        <row r="16">
          <cell r="H16">
            <v>-998880</v>
          </cell>
        </row>
        <row r="17">
          <cell r="H17">
            <v>1011240</v>
          </cell>
        </row>
        <row r="18">
          <cell r="H18">
            <v>982026</v>
          </cell>
        </row>
        <row r="19">
          <cell r="H19">
            <v>955060</v>
          </cell>
        </row>
        <row r="20">
          <cell r="H20">
            <v>45000</v>
          </cell>
        </row>
        <row r="21">
          <cell r="H21">
            <v>10400</v>
          </cell>
        </row>
        <row r="22">
          <cell r="H22">
            <v>-204328</v>
          </cell>
        </row>
        <row r="23">
          <cell r="H23">
            <v>11252715</v>
          </cell>
        </row>
        <row r="24">
          <cell r="H24">
            <v>1123600</v>
          </cell>
        </row>
        <row r="25">
          <cell r="H25">
            <v>130321</v>
          </cell>
        </row>
        <row r="26">
          <cell r="H26">
            <v>158128</v>
          </cell>
        </row>
        <row r="27">
          <cell r="H27">
            <v>105419</v>
          </cell>
        </row>
        <row r="28">
          <cell r="H28">
            <v>4171590</v>
          </cell>
        </row>
        <row r="29">
          <cell r="H29">
            <v>8890836</v>
          </cell>
        </row>
        <row r="30">
          <cell r="H30">
            <v>6802116</v>
          </cell>
        </row>
        <row r="31">
          <cell r="H31">
            <v>7315918</v>
          </cell>
        </row>
        <row r="32">
          <cell r="H32">
            <v>4125494</v>
          </cell>
        </row>
        <row r="33">
          <cell r="H33">
            <v>5185892</v>
          </cell>
        </row>
        <row r="34">
          <cell r="H34">
            <v>204328</v>
          </cell>
        </row>
        <row r="35">
          <cell r="H35">
            <v>204328</v>
          </cell>
        </row>
        <row r="36">
          <cell r="H36">
            <v>1080208.57</v>
          </cell>
        </row>
        <row r="37">
          <cell r="H37">
            <v>4586535</v>
          </cell>
        </row>
        <row r="38">
          <cell r="H38">
            <v>97372.42</v>
          </cell>
        </row>
        <row r="39">
          <cell r="H39">
            <v>383672</v>
          </cell>
        </row>
        <row r="40">
          <cell r="H40">
            <v>154000</v>
          </cell>
        </row>
        <row r="41">
          <cell r="H41">
            <v>0.34</v>
          </cell>
        </row>
        <row r="42">
          <cell r="H42">
            <v>-10351439</v>
          </cell>
        </row>
        <row r="43">
          <cell r="H43">
            <v>825867</v>
          </cell>
        </row>
        <row r="44">
          <cell r="H44">
            <v>-50500000</v>
          </cell>
        </row>
        <row r="45">
          <cell r="H45">
            <v>-14600000</v>
          </cell>
        </row>
      </sheetData>
      <sheetData sheetId="14"/>
      <sheetData sheetId="15">
        <row r="3">
          <cell r="B3" t="str">
            <v>Conference</v>
          </cell>
        </row>
        <row r="4">
          <cell r="B4" t="str">
            <v>Conveyance</v>
          </cell>
        </row>
        <row r="5">
          <cell r="B5" t="str">
            <v>Employee Welfare</v>
          </cell>
        </row>
        <row r="6">
          <cell r="B6" t="str">
            <v>Entertainment</v>
          </cell>
        </row>
        <row r="7">
          <cell r="B7" t="str">
            <v>Gifts</v>
          </cell>
        </row>
        <row r="8">
          <cell r="B8" t="str">
            <v>Hotel, Boarding &amp; Lodging</v>
          </cell>
        </row>
        <row r="9">
          <cell r="B9" t="str">
            <v>Maintenance of accomodation in the nature of guest house</v>
          </cell>
        </row>
        <row r="10">
          <cell r="B10" t="str">
            <v>Not Applicable</v>
          </cell>
        </row>
        <row r="11">
          <cell r="B11" t="str">
            <v>Repair, Running and Maintenance of Motor Car</v>
          </cell>
        </row>
        <row r="12">
          <cell r="B12" t="str">
            <v>Sales Promotion (including publicity)</v>
          </cell>
        </row>
        <row r="13">
          <cell r="B13" t="str">
            <v>Tour, travel &amp; Foreign Travel</v>
          </cell>
        </row>
        <row r="14">
          <cell r="B14" t="str">
            <v>Use of Club facilities</v>
          </cell>
        </row>
        <row r="15">
          <cell r="B15" t="str">
            <v>Use of telephone</v>
          </cell>
        </row>
      </sheetData>
      <sheetData sheetId="16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Index"/>
      <sheetName val="Timelines"/>
      <sheetName val="Phase 1&gt;&gt;"/>
      <sheetName val="BS"/>
      <sheetName val="IS"/>
      <sheetName val="OCI"/>
      <sheetName val="Equity- BBP"/>
      <sheetName val="Equity- BAM"/>
      <sheetName val="Equity- Relo"/>
      <sheetName val="Intercompany"/>
      <sheetName val="Interco-Geo"/>
      <sheetName val="Interco-Risk"/>
      <sheetName val="Other Equity"/>
      <sheetName val="Results Call -BS"/>
      <sheetName val="Results Call - P&amp;L BBP"/>
      <sheetName val="Results Call - P&amp;L Relo"/>
      <sheetName val="Drill downs"/>
      <sheetName val="OCI Chk"/>
      <sheetName val="Equity Roll"/>
      <sheetName val="Q3-Asset Recovery &amp; Div Decl"/>
      <sheetName val="Restruct"/>
      <sheetName val="Change in interco"/>
      <sheetName val="Phase 2&gt;&gt;"/>
      <sheetName val="Business Combinations"/>
      <sheetName val="Cashflow"/>
      <sheetName val="Summary CFS"/>
      <sheetName val="by Geography BBP"/>
      <sheetName val="by Geography Relo"/>
      <sheetName val="Geography Supplemental"/>
      <sheetName val="Continuities BBP"/>
      <sheetName val="Continuities Relo"/>
      <sheetName val="EAI"/>
      <sheetName val="Fair Value of Fin. Inst. BBP"/>
      <sheetName val="Fair Value of Fin. Inst. Relo"/>
      <sheetName val="Fair Value other"/>
      <sheetName val="IS and BS Tax Supplementa BBP"/>
      <sheetName val="IS and BS Tax Supplemental Relo"/>
      <sheetName val="OCI Tax Supplemental"/>
      <sheetName val="Risk Exposures BBP"/>
      <sheetName val="Risk Exposures Relo"/>
      <sheetName val="Non Financial Information"/>
      <sheetName val="Inventory"/>
      <sheetName val="FI Netting"/>
      <sheetName val="Fin. Assets and Liabilities"/>
      <sheetName val="Payroll &amp; Benefit Plans-Qtr"/>
      <sheetName val="Derivatives and Hedging - HSF"/>
      <sheetName val="Hedges"/>
      <sheetName val="Work In Progress"/>
      <sheetName val="Assets Held for Sale"/>
      <sheetName val="Guarantees Supplemental - Relo"/>
      <sheetName val="Maintenance Capex BBP"/>
      <sheetName val="Maintenance Capex Relo"/>
      <sheetName val="Borrowings"/>
      <sheetName val="Provisions &amp; Guarantees"/>
      <sheetName val="FFO Bridge"/>
      <sheetName val="Contractual Obligations BBP"/>
      <sheetName val="Contractual Obligations Relo"/>
      <sheetName val="HSR"/>
      <sheetName val="YE DISCLOSURES &gt;&gt;"/>
      <sheetName val="Related Party  - Relo"/>
      <sheetName val="Consolidated BS"/>
      <sheetName val="Consolidated P&amp;L"/>
      <sheetName val="Detailed OCI"/>
      <sheetName val="Provisions"/>
      <sheetName val="BAM to BBP P&amp;L Rec"/>
      <sheetName val="BAM Main to BBP Validation"/>
      <sheetName val="Tax Entries"/>
      <sheetName val="Intercompany Change CFS"/>
      <sheetName val="Sheet2"/>
      <sheetName val="FX on Cash"/>
      <sheetName val="Entity 202 FX on Cash"/>
      <sheetName val="FX Rates"/>
    </sheetNames>
    <sheetDataSet>
      <sheetData sheetId="0" refreshError="1">
        <row r="4">
          <cell r="L4">
            <v>41729</v>
          </cell>
        </row>
        <row r="7">
          <cell r="L7">
            <v>0.11</v>
          </cell>
        </row>
      </sheetData>
      <sheetData sheetId="1" refreshError="1"/>
      <sheetData sheetId="2" refreshError="1">
        <row r="6">
          <cell r="H6" t="str">
            <v>BRPS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ra"/>
      <sheetName val="Simulator Consolidated"/>
      <sheetName val="Simulator Detail"/>
      <sheetName val="Matlab"/>
      <sheetName val="Mentor Graphics"/>
      <sheetName val="Matrix-X"/>
      <sheetName val="Grand Total"/>
      <sheetName val="Tools"/>
      <sheetName val="Power Hawk"/>
      <sheetName val="Customize Your Invoice"/>
      <sheetName val="OpServicesDetail"/>
      <sheetName val="HIGHLIGHTS"/>
      <sheetName val="debitnote-CT1"/>
      <sheetName val="Total DTH Forecast"/>
      <sheetName val="Total Distribution Forecast"/>
      <sheetName val="Balance Sheet "/>
      <sheetName val="DF"/>
      <sheetName val="Data"/>
      <sheetName val="Cash"/>
      <sheetName val="Sales Inv"/>
      <sheetName val="BS Groupings"/>
      <sheetName val="PL Groupings"/>
      <sheetName val="cover for tax"/>
      <sheetName val="mapping"/>
      <sheetName val="gen ledger data"/>
      <sheetName val="Basic Details"/>
      <sheetName val="Simulator_Consolidated"/>
      <sheetName val="Simulator_Detail"/>
      <sheetName val="Mentor_Graphics"/>
      <sheetName val="Grand_Total"/>
      <sheetName val="Power_Hawk"/>
      <sheetName val="Total_DTH_Forecast"/>
      <sheetName val="Total_Distribution_Forecast"/>
      <sheetName val="P&amp;L_February"/>
      <sheetName val="P&amp;L_Feb_2001_cumulative"/>
      <sheetName val="Grid Sim"/>
      <sheetName val="Calc"/>
      <sheetName val="Dec resp"/>
      <sheetName val="Jan HC"/>
      <sheetName val="Pathspeed CR"/>
      <sheetName val="BS Schdl- 1 &amp; 2"/>
      <sheetName val="Fixed Assets-Last year"/>
      <sheetName val="Customize Your Purchase Order"/>
      <sheetName val="DataInput1"/>
      <sheetName val="Balance Sheet"/>
      <sheetName val="IT_FBT_DDTP"/>
      <sheetName val="Index"/>
      <sheetName val="TOP Sheet (2)"/>
      <sheetName val="TOP Sheet _2_"/>
      <sheetName val="gen_ledger_data"/>
      <sheetName val="TOP_Sheet_(2)"/>
      <sheetName val="TOP_Sheet__2_"/>
      <sheetName val="Balance_Sheet"/>
      <sheetName val="Codes"/>
      <sheetName val="Dividend (Annex19)-FINAL"/>
      <sheetName val="CON"/>
      <sheetName val="Sheet2"/>
    </sheetNames>
    <sheetDataSet>
      <sheetData sheetId="0" refreshError="1"/>
      <sheetData sheetId="1"/>
      <sheetData sheetId="2">
        <row r="1">
          <cell r="K1">
            <v>49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 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 "/>
      <sheetName val="IS -123"/>
      <sheetName val="IS -124"/>
      <sheetName val="IS-125"/>
      <sheetName val="BS -200"/>
      <sheetName val="BS-201"/>
      <sheetName val="BS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 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 "/>
      <sheetName val="MI-315"/>
      <sheetName val="MI-316"/>
      <sheetName val="MI-317"/>
      <sheetName val="BS_203"/>
      <sheetName val="FBP Declaration"/>
      <sheetName val="EAW Final Accounts - 99"/>
      <sheetName val="REC GMBH"/>
      <sheetName val="FORM B - Oct 2005"/>
      <sheetName val="grp "/>
      <sheetName val="BL Staff"/>
      <sheetName val="Forecast Sales Model"/>
      <sheetName val="Fleet%"/>
      <sheetName val="China"/>
      <sheetName val="fixd1"/>
      <sheetName val="fixd2"/>
      <sheetName val="Data"/>
      <sheetName val="Sheet2"/>
      <sheetName val="STP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"/>
      <sheetName val="trial balance"/>
      <sheetName val="Sheet(2)"/>
      <sheetName val="notes"/>
      <sheetName val="itcomp"/>
      <sheetName val="itdep"/>
      <sheetName val="ANNX1"/>
      <sheetName val="ANNX2"/>
      <sheetName val="ANNX3 "/>
      <sheetName val="ANNX4 "/>
      <sheetName val="ANNX5"/>
      <sheetName val="ANNX6 "/>
      <sheetName val="ANNX7"/>
      <sheetName val="ANNX8"/>
      <sheetName val="ANNX9"/>
      <sheetName val="10ccac"/>
      <sheetName val="TB9798"/>
      <sheetName val="BS"/>
      <sheetName val="it"/>
      <sheetName val="1tdep"/>
      <sheetName val="ann1"/>
      <sheetName val="ann2"/>
      <sheetName val="ann3"/>
      <sheetName val="ann4"/>
      <sheetName val="ann5"/>
      <sheetName val="ann6"/>
      <sheetName val="ann7"/>
      <sheetName val="ann8"/>
    </sheetNames>
    <sheetDataSet>
      <sheetData sheetId="0">
        <row r="2">
          <cell r="A2" t="str">
            <v>SCHEDULE:5</v>
          </cell>
        </row>
        <row r="3">
          <cell r="A3" t="str">
            <v>FIXED ASSETS</v>
          </cell>
        </row>
        <row r="4">
          <cell r="L4" t="str">
            <v>(in rupees)</v>
          </cell>
        </row>
        <row r="5">
          <cell r="D5" t="str">
            <v xml:space="preserve">   G R O S S  B L O C K</v>
          </cell>
          <cell r="H5" t="str">
            <v xml:space="preserve">  D E P R E C I A T I O N</v>
          </cell>
          <cell r="K5" t="str">
            <v xml:space="preserve">     N E T  B L O C K</v>
          </cell>
        </row>
        <row r="6">
          <cell r="A6" t="str">
            <v>SL.</v>
          </cell>
          <cell r="B6" t="str">
            <v>DESCRIPTION</v>
          </cell>
          <cell r="C6" t="str">
            <v>Cost as at</v>
          </cell>
          <cell r="D6" t="str">
            <v>Additions</v>
          </cell>
          <cell r="E6" t="str">
            <v>Deductions</v>
          </cell>
          <cell r="F6" t="str">
            <v>Cost as at</v>
          </cell>
          <cell r="G6" t="str">
            <v>Upto</v>
          </cell>
          <cell r="H6" t="str">
            <v>Deductions</v>
          </cell>
          <cell r="I6" t="str">
            <v>For the</v>
          </cell>
          <cell r="J6" t="str">
            <v>Upto</v>
          </cell>
          <cell r="K6" t="str">
            <v>As at</v>
          </cell>
          <cell r="L6" t="str">
            <v>As at</v>
          </cell>
        </row>
        <row r="7">
          <cell r="A7" t="str">
            <v>NO.</v>
          </cell>
          <cell r="C7" t="str">
            <v>1st April</v>
          </cell>
          <cell r="D7" t="str">
            <v>during</v>
          </cell>
          <cell r="E7" t="str">
            <v>during</v>
          </cell>
          <cell r="F7" t="str">
            <v>31st March</v>
          </cell>
          <cell r="G7" t="str">
            <v>31st March,</v>
          </cell>
          <cell r="H7" t="str">
            <v>on a/c of</v>
          </cell>
          <cell r="I7" t="str">
            <v>year</v>
          </cell>
          <cell r="J7" t="str">
            <v>31st March,</v>
          </cell>
          <cell r="K7" t="str">
            <v>31st March,</v>
          </cell>
          <cell r="L7" t="str">
            <v>31st March,</v>
          </cell>
        </row>
        <row r="8">
          <cell r="C8" t="str">
            <v>1997</v>
          </cell>
          <cell r="D8" t="str">
            <v>the year</v>
          </cell>
          <cell r="E8" t="str">
            <v>the year</v>
          </cell>
          <cell r="F8" t="str">
            <v>1998</v>
          </cell>
          <cell r="G8" t="str">
            <v>1997</v>
          </cell>
          <cell r="H8" t="str">
            <v>adjustments</v>
          </cell>
          <cell r="J8" t="str">
            <v>1998</v>
          </cell>
          <cell r="K8" t="str">
            <v>1998</v>
          </cell>
          <cell r="L8" t="str">
            <v>1997</v>
          </cell>
        </row>
        <row r="9">
          <cell r="A9" t="str">
            <v>1.</v>
          </cell>
          <cell r="B9" t="str">
            <v>Land</v>
          </cell>
        </row>
        <row r="10">
          <cell r="B10" t="str">
            <v xml:space="preserve">  Freehold</v>
          </cell>
          <cell r="C10">
            <v>16589275</v>
          </cell>
          <cell r="D10" t="str">
            <v>-</v>
          </cell>
          <cell r="E10">
            <v>1460406</v>
          </cell>
          <cell r="F10">
            <v>15128869</v>
          </cell>
          <cell r="G10" t="str">
            <v>-</v>
          </cell>
          <cell r="H10" t="str">
            <v>-</v>
          </cell>
          <cell r="I10" t="str">
            <v>-</v>
          </cell>
          <cell r="J10" t="str">
            <v>-</v>
          </cell>
          <cell r="K10">
            <v>15128869</v>
          </cell>
          <cell r="L10">
            <v>16589275</v>
          </cell>
        </row>
        <row r="11">
          <cell r="B11" t="str">
            <v xml:space="preserve">  Leasehold</v>
          </cell>
          <cell r="C11">
            <v>2523442.7999999998</v>
          </cell>
          <cell r="D11" t="str">
            <v>-</v>
          </cell>
          <cell r="E11" t="str">
            <v>-</v>
          </cell>
          <cell r="F11">
            <v>2523442.7999999998</v>
          </cell>
          <cell r="G11">
            <v>1190343</v>
          </cell>
          <cell r="H11" t="str">
            <v>-</v>
          </cell>
          <cell r="I11">
            <v>229404</v>
          </cell>
          <cell r="J11">
            <v>1419747</v>
          </cell>
          <cell r="K11">
            <v>1103695.7999999998</v>
          </cell>
          <cell r="L11">
            <v>1333099.7999999998</v>
          </cell>
        </row>
        <row r="12">
          <cell r="A12" t="str">
            <v>2.</v>
          </cell>
          <cell r="B12" t="str">
            <v>Buildings</v>
          </cell>
          <cell r="C12">
            <v>32319740.359999996</v>
          </cell>
          <cell r="D12">
            <v>7443887.459999999</v>
          </cell>
          <cell r="E12" t="str">
            <v>-</v>
          </cell>
          <cell r="F12">
            <v>39763627.819999993</v>
          </cell>
          <cell r="G12">
            <v>9849276</v>
          </cell>
          <cell r="H12" t="str">
            <v>-</v>
          </cell>
          <cell r="I12">
            <v>2162853</v>
          </cell>
          <cell r="J12">
            <v>12012129</v>
          </cell>
          <cell r="K12">
            <v>27751498.819999993</v>
          </cell>
          <cell r="L12">
            <v>22470464.359999996</v>
          </cell>
        </row>
        <row r="13">
          <cell r="A13" t="str">
            <v>3.</v>
          </cell>
          <cell r="B13" t="str">
            <v>Plant and machinery</v>
          </cell>
          <cell r="C13">
            <v>9975087.870000001</v>
          </cell>
          <cell r="D13">
            <v>789510</v>
          </cell>
          <cell r="E13" t="str">
            <v>-</v>
          </cell>
          <cell r="F13">
            <v>10764597.870000001</v>
          </cell>
          <cell r="G13">
            <v>3796058</v>
          </cell>
          <cell r="H13" t="str">
            <v>-</v>
          </cell>
          <cell r="I13">
            <v>930386</v>
          </cell>
          <cell r="J13">
            <v>4726444</v>
          </cell>
          <cell r="K13">
            <v>6038153.870000001</v>
          </cell>
          <cell r="L13">
            <v>6179029.870000001</v>
          </cell>
        </row>
        <row r="14">
          <cell r="A14" t="str">
            <v>4.</v>
          </cell>
          <cell r="B14" t="str">
            <v>R &amp; D Equipment</v>
          </cell>
          <cell r="C14">
            <v>13996906.99</v>
          </cell>
          <cell r="D14">
            <v>1358972.1600000001</v>
          </cell>
          <cell r="E14" t="str">
            <v>-</v>
          </cell>
          <cell r="F14">
            <v>15355879.15</v>
          </cell>
          <cell r="G14">
            <v>5254513</v>
          </cell>
          <cell r="H14" t="str">
            <v>-</v>
          </cell>
          <cell r="I14">
            <v>1338096</v>
          </cell>
          <cell r="J14">
            <v>6592609</v>
          </cell>
          <cell r="K14">
            <v>8763270.1500000004</v>
          </cell>
          <cell r="L14">
            <v>8742393.9900000002</v>
          </cell>
        </row>
        <row r="15">
          <cell r="A15" t="str">
            <v>5.</v>
          </cell>
          <cell r="B15" t="str">
            <v>Other equipment</v>
          </cell>
          <cell r="C15">
            <v>2913713.73</v>
          </cell>
          <cell r="D15">
            <v>4025947</v>
          </cell>
          <cell r="E15">
            <v>1789</v>
          </cell>
          <cell r="F15">
            <v>6937871.7300000004</v>
          </cell>
          <cell r="G15">
            <v>1375617</v>
          </cell>
          <cell r="H15">
            <v>41</v>
          </cell>
          <cell r="I15">
            <v>362031</v>
          </cell>
          <cell r="J15">
            <v>1737607</v>
          </cell>
          <cell r="K15">
            <v>5200264.7300000004</v>
          </cell>
          <cell r="L15">
            <v>1538096.73</v>
          </cell>
        </row>
        <row r="16">
          <cell r="A16" t="str">
            <v>6.</v>
          </cell>
          <cell r="B16" t="str">
            <v>Furniture and fixtures</v>
          </cell>
          <cell r="C16">
            <v>1952272.27</v>
          </cell>
          <cell r="D16">
            <v>114753.19999999995</v>
          </cell>
          <cell r="E16" t="str">
            <v>-</v>
          </cell>
          <cell r="F16">
            <v>2067025.47</v>
          </cell>
          <cell r="G16">
            <v>779893</v>
          </cell>
          <cell r="H16" t="str">
            <v>-</v>
          </cell>
          <cell r="I16">
            <v>221076</v>
          </cell>
          <cell r="J16">
            <v>1000969</v>
          </cell>
          <cell r="K16">
            <v>1066056.47</v>
          </cell>
          <cell r="L16">
            <v>1172379.27</v>
          </cell>
        </row>
        <row r="17">
          <cell r="A17" t="str">
            <v>7.</v>
          </cell>
          <cell r="B17" t="str">
            <v>Vehicles</v>
          </cell>
          <cell r="C17">
            <v>1652981.06</v>
          </cell>
          <cell r="D17">
            <v>701354</v>
          </cell>
          <cell r="E17" t="str">
            <v>-</v>
          </cell>
          <cell r="F17">
            <v>2354335.06</v>
          </cell>
          <cell r="G17">
            <v>479520</v>
          </cell>
          <cell r="H17" t="str">
            <v>-</v>
          </cell>
          <cell r="I17">
            <v>364004</v>
          </cell>
          <cell r="J17">
            <v>843524</v>
          </cell>
          <cell r="K17">
            <v>1510811.06</v>
          </cell>
          <cell r="L17">
            <v>1173461.06</v>
          </cell>
        </row>
        <row r="18">
          <cell r="B18" t="str">
            <v>TOTAL</v>
          </cell>
          <cell r="C18">
            <v>81923420</v>
          </cell>
          <cell r="D18">
            <v>14434423.819999998</v>
          </cell>
          <cell r="E18">
            <v>1462195</v>
          </cell>
          <cell r="F18">
            <v>94895648.900000006</v>
          </cell>
          <cell r="G18">
            <v>22725220</v>
          </cell>
          <cell r="H18">
            <v>41</v>
          </cell>
          <cell r="I18">
            <v>5607850</v>
          </cell>
          <cell r="J18">
            <v>28333029</v>
          </cell>
          <cell r="K18">
            <v>66562619.899999991</v>
          </cell>
          <cell r="L18">
            <v>59198200.080000006</v>
          </cell>
        </row>
        <row r="19">
          <cell r="B19" t="str">
            <v>PREVIOUS YEAR</v>
          </cell>
          <cell r="C19">
            <v>71862746</v>
          </cell>
          <cell r="D19">
            <v>10425875</v>
          </cell>
          <cell r="E19">
            <v>365200</v>
          </cell>
          <cell r="F19">
            <v>81923421</v>
          </cell>
          <cell r="G19">
            <v>18228265</v>
          </cell>
          <cell r="H19">
            <v>131472</v>
          </cell>
          <cell r="I19">
            <v>4628428</v>
          </cell>
          <cell r="J19">
            <v>22725221</v>
          </cell>
          <cell r="K19">
            <v>59198200</v>
          </cell>
          <cell r="L19" t="str">
            <v>-</v>
          </cell>
        </row>
        <row r="24">
          <cell r="A24" t="str">
            <v>BIOCON INDIA LIMITED</v>
          </cell>
        </row>
        <row r="26">
          <cell r="C26" t="str">
            <v>GROSS BLOCK</v>
          </cell>
          <cell r="G26" t="str">
            <v>DEPRECIATION</v>
          </cell>
        </row>
        <row r="27">
          <cell r="D27" t="str">
            <v>ADDITIONS</v>
          </cell>
          <cell r="E27" t="str">
            <v>DELETIONS</v>
          </cell>
          <cell r="H27" t="str">
            <v>DELETIONS</v>
          </cell>
          <cell r="I27" t="str">
            <v>ADDITIONS</v>
          </cell>
          <cell r="K27" t="str">
            <v xml:space="preserve"> &lt;---WDV---&gt;</v>
          </cell>
        </row>
        <row r="28">
          <cell r="D28" t="str">
            <v>01-04-97</v>
          </cell>
          <cell r="E28" t="str">
            <v>01-04-97</v>
          </cell>
          <cell r="F28" t="str">
            <v>TOTAL</v>
          </cell>
          <cell r="G28" t="str">
            <v xml:space="preserve">Upto </v>
          </cell>
          <cell r="H28" t="str">
            <v>01-04-97</v>
          </cell>
          <cell r="I28" t="str">
            <v>01-04-97</v>
          </cell>
          <cell r="J28" t="str">
            <v>TOTAL DEPN.</v>
          </cell>
          <cell r="K28" t="str">
            <v>WDV</v>
          </cell>
        </row>
        <row r="29">
          <cell r="A29" t="str">
            <v xml:space="preserve">SL </v>
          </cell>
          <cell r="B29" t="str">
            <v>DESCRIPTION</v>
          </cell>
          <cell r="C29" t="str">
            <v>Cost as on</v>
          </cell>
          <cell r="D29" t="str">
            <v>Upto</v>
          </cell>
          <cell r="E29" t="str">
            <v>Upto</v>
          </cell>
          <cell r="F29" t="str">
            <v>COST AS ON</v>
          </cell>
          <cell r="H29" t="str">
            <v>Upto</v>
          </cell>
          <cell r="I29" t="str">
            <v>Upto</v>
          </cell>
          <cell r="J29" t="str">
            <v>UPTO</v>
          </cell>
          <cell r="K29" t="str">
            <v>AS ON</v>
          </cell>
        </row>
        <row r="30">
          <cell r="A30" t="str">
            <v>NO</v>
          </cell>
          <cell r="C30" t="str">
            <v>31-03-1997</v>
          </cell>
          <cell r="D30" t="str">
            <v>31-03-98</v>
          </cell>
          <cell r="E30" t="str">
            <v>31-03-98</v>
          </cell>
          <cell r="F30" t="str">
            <v>31-03-98</v>
          </cell>
          <cell r="G30" t="str">
            <v>31-03-1997</v>
          </cell>
          <cell r="H30" t="str">
            <v>31-03-98</v>
          </cell>
          <cell r="I30" t="str">
            <v>31-03-98</v>
          </cell>
          <cell r="J30" t="str">
            <v>31-03-98</v>
          </cell>
          <cell r="K30" t="str">
            <v>31-03-98</v>
          </cell>
        </row>
        <row r="32">
          <cell r="A32" t="str">
            <v>1</v>
          </cell>
          <cell r="B32" t="str">
            <v>Freehold land - factory</v>
          </cell>
          <cell r="C32">
            <v>280336</v>
          </cell>
          <cell r="D32">
            <v>0</v>
          </cell>
          <cell r="E32">
            <v>40402</v>
          </cell>
          <cell r="F32">
            <v>239934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239934</v>
          </cell>
        </row>
        <row r="33">
          <cell r="A33" t="str">
            <v>2</v>
          </cell>
          <cell r="B33" t="str">
            <v>Revaluation - freehold land factory</v>
          </cell>
          <cell r="C33">
            <v>9853089</v>
          </cell>
          <cell r="D33">
            <v>0</v>
          </cell>
          <cell r="E33">
            <v>1420004</v>
          </cell>
          <cell r="F33">
            <v>8433085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8433085</v>
          </cell>
        </row>
        <row r="34">
          <cell r="A34" t="str">
            <v>3</v>
          </cell>
          <cell r="B34" t="str">
            <v>Freehold land - housing</v>
          </cell>
          <cell r="C34">
            <v>2963115</v>
          </cell>
          <cell r="D34">
            <v>0</v>
          </cell>
          <cell r="F34">
            <v>2963115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2963115</v>
          </cell>
        </row>
        <row r="35">
          <cell r="A35" t="str">
            <v>4</v>
          </cell>
          <cell r="B35" t="str">
            <v>Revaluation - freehold land housing</v>
          </cell>
          <cell r="C35">
            <v>3492735</v>
          </cell>
          <cell r="D35">
            <v>0</v>
          </cell>
          <cell r="F35">
            <v>3492735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3492735</v>
          </cell>
        </row>
        <row r="36">
          <cell r="A36" t="str">
            <v>5</v>
          </cell>
          <cell r="B36" t="str">
            <v>Leasehold land - housing - KMZ</v>
          </cell>
          <cell r="C36">
            <v>1000000</v>
          </cell>
          <cell r="D36">
            <v>0</v>
          </cell>
          <cell r="F36">
            <v>1000000</v>
          </cell>
          <cell r="G36">
            <v>636363</v>
          </cell>
          <cell r="H36">
            <v>0</v>
          </cell>
          <cell r="I36">
            <v>90909</v>
          </cell>
          <cell r="J36">
            <v>727272</v>
          </cell>
          <cell r="K36">
            <v>272728</v>
          </cell>
        </row>
        <row r="37">
          <cell r="A37" t="str">
            <v>6</v>
          </cell>
          <cell r="B37" t="str">
            <v>Leasehold land - housing - PKA</v>
          </cell>
          <cell r="C37">
            <v>1523442.8</v>
          </cell>
          <cell r="D37">
            <v>0</v>
          </cell>
          <cell r="F37">
            <v>1523442.8</v>
          </cell>
          <cell r="G37">
            <v>553980</v>
          </cell>
          <cell r="H37">
            <v>0</v>
          </cell>
          <cell r="I37">
            <v>138495</v>
          </cell>
          <cell r="J37">
            <v>692475</v>
          </cell>
          <cell r="K37">
            <v>830967.8</v>
          </cell>
        </row>
        <row r="38">
          <cell r="A38" t="str">
            <v>7</v>
          </cell>
          <cell r="B38" t="str">
            <v>Factory Buildings</v>
          </cell>
          <cell r="C38">
            <v>6308285.4000000004</v>
          </cell>
          <cell r="D38">
            <v>0</v>
          </cell>
          <cell r="F38">
            <v>6308285.4000000004</v>
          </cell>
          <cell r="G38">
            <v>3548280</v>
          </cell>
          <cell r="H38">
            <v>0</v>
          </cell>
          <cell r="I38">
            <v>276001</v>
          </cell>
          <cell r="J38">
            <v>3824281</v>
          </cell>
          <cell r="K38">
            <v>2484004.4000000004</v>
          </cell>
        </row>
        <row r="39">
          <cell r="A39" t="str">
            <v>8</v>
          </cell>
          <cell r="B39" t="str">
            <v xml:space="preserve">Building R &amp; D </v>
          </cell>
          <cell r="C39">
            <v>2003264.13</v>
          </cell>
          <cell r="D39">
            <v>0</v>
          </cell>
          <cell r="F39">
            <v>2003264.13</v>
          </cell>
          <cell r="G39">
            <v>244095</v>
          </cell>
          <cell r="H39">
            <v>0</v>
          </cell>
          <cell r="I39">
            <v>175917</v>
          </cell>
          <cell r="J39">
            <v>420012</v>
          </cell>
          <cell r="K39">
            <v>1583252.13</v>
          </cell>
        </row>
        <row r="40">
          <cell r="A40" t="str">
            <v>9</v>
          </cell>
          <cell r="B40" t="str">
            <v>Revaluation - factory building</v>
          </cell>
          <cell r="C40">
            <v>15323127</v>
          </cell>
          <cell r="D40">
            <v>0</v>
          </cell>
          <cell r="F40">
            <v>15323127</v>
          </cell>
          <cell r="G40">
            <v>4152567</v>
          </cell>
          <cell r="H40">
            <v>0</v>
          </cell>
          <cell r="I40">
            <v>1117056</v>
          </cell>
          <cell r="J40">
            <v>5269623</v>
          </cell>
          <cell r="K40">
            <v>10053504</v>
          </cell>
        </row>
        <row r="41">
          <cell r="A41" t="str">
            <v>10</v>
          </cell>
          <cell r="B41" t="str">
            <v>Residential Flats</v>
          </cell>
          <cell r="C41">
            <v>2718908.83</v>
          </cell>
          <cell r="D41">
            <v>6568241.459999999</v>
          </cell>
          <cell r="F41">
            <v>9287150.2899999991</v>
          </cell>
          <cell r="G41">
            <v>986773</v>
          </cell>
          <cell r="H41">
            <v>0</v>
          </cell>
          <cell r="I41">
            <v>333141</v>
          </cell>
          <cell r="J41">
            <v>1319914</v>
          </cell>
          <cell r="K41">
            <v>7967236.2899999991</v>
          </cell>
        </row>
        <row r="42">
          <cell r="A42" t="str">
            <v>11</v>
          </cell>
          <cell r="B42" t="str">
            <v>Bombay Premises</v>
          </cell>
          <cell r="D42">
            <v>875646</v>
          </cell>
          <cell r="F42">
            <v>875646</v>
          </cell>
          <cell r="I42">
            <v>7077</v>
          </cell>
          <cell r="J42">
            <v>7077</v>
          </cell>
          <cell r="K42">
            <v>868569</v>
          </cell>
        </row>
        <row r="43">
          <cell r="A43" t="str">
            <v>12</v>
          </cell>
          <cell r="B43" t="str">
            <v>Revaluation - residential flats</v>
          </cell>
          <cell r="C43">
            <v>5859722</v>
          </cell>
          <cell r="D43">
            <v>0</v>
          </cell>
          <cell r="F43">
            <v>5859722</v>
          </cell>
          <cell r="G43">
            <v>835743</v>
          </cell>
          <cell r="H43">
            <v>0</v>
          </cell>
          <cell r="I43">
            <v>251199</v>
          </cell>
          <cell r="J43">
            <v>1086942</v>
          </cell>
          <cell r="K43">
            <v>4772780</v>
          </cell>
        </row>
        <row r="44">
          <cell r="A44" t="str">
            <v>13</v>
          </cell>
          <cell r="B44" t="str">
            <v>Wells &amp; Tanks</v>
          </cell>
          <cell r="C44">
            <v>106433</v>
          </cell>
          <cell r="D44">
            <v>0</v>
          </cell>
          <cell r="F44">
            <v>106433</v>
          </cell>
          <cell r="G44">
            <v>81818</v>
          </cell>
          <cell r="H44">
            <v>0</v>
          </cell>
          <cell r="I44">
            <v>2462</v>
          </cell>
          <cell r="J44">
            <v>84280</v>
          </cell>
          <cell r="K44">
            <v>22153</v>
          </cell>
        </row>
        <row r="45">
          <cell r="A45" t="str">
            <v>14</v>
          </cell>
          <cell r="B45" t="str">
            <v>Electrical Installation</v>
          </cell>
          <cell r="C45">
            <v>870048.36</v>
          </cell>
          <cell r="D45">
            <v>235296.00000000012</v>
          </cell>
          <cell r="F45">
            <v>1105344.3600000001</v>
          </cell>
          <cell r="G45">
            <v>647270</v>
          </cell>
          <cell r="H45">
            <v>0</v>
          </cell>
          <cell r="I45">
            <v>49999</v>
          </cell>
          <cell r="J45">
            <v>697269</v>
          </cell>
          <cell r="K45">
            <v>408075.3600000001</v>
          </cell>
        </row>
        <row r="46">
          <cell r="A46" t="str">
            <v>15</v>
          </cell>
          <cell r="B46" t="str">
            <v>Plant &amp; machinery</v>
          </cell>
          <cell r="C46">
            <v>3834791.4</v>
          </cell>
          <cell r="D46">
            <v>278200</v>
          </cell>
          <cell r="F46">
            <v>4112991.4</v>
          </cell>
          <cell r="G46">
            <v>2175249</v>
          </cell>
          <cell r="H46">
            <v>0</v>
          </cell>
          <cell r="I46">
            <v>251791</v>
          </cell>
          <cell r="J46">
            <v>2427040</v>
          </cell>
          <cell r="K46">
            <v>1685951.4</v>
          </cell>
        </row>
        <row r="47">
          <cell r="A47" t="str">
            <v>16</v>
          </cell>
          <cell r="B47" t="str">
            <v>100% depn-Equip</v>
          </cell>
          <cell r="C47">
            <v>2520495.2599999998</v>
          </cell>
          <cell r="D47">
            <v>15306</v>
          </cell>
          <cell r="F47">
            <v>2535801.2599999998</v>
          </cell>
          <cell r="G47">
            <v>526426</v>
          </cell>
          <cell r="H47">
            <v>0</v>
          </cell>
          <cell r="I47">
            <v>279329</v>
          </cell>
          <cell r="J47">
            <v>805755</v>
          </cell>
          <cell r="K47">
            <v>1730046.2599999998</v>
          </cell>
        </row>
        <row r="48">
          <cell r="A48" t="str">
            <v>17</v>
          </cell>
          <cell r="B48" t="str">
            <v>Generator</v>
          </cell>
          <cell r="C48">
            <v>2584899.21</v>
          </cell>
          <cell r="D48">
            <v>0</v>
          </cell>
          <cell r="F48">
            <v>2584899.21</v>
          </cell>
          <cell r="G48">
            <v>613381</v>
          </cell>
          <cell r="H48">
            <v>0</v>
          </cell>
          <cell r="I48">
            <v>274238</v>
          </cell>
          <cell r="J48">
            <v>887619</v>
          </cell>
          <cell r="K48">
            <v>1697280.21</v>
          </cell>
        </row>
        <row r="49">
          <cell r="A49" t="str">
            <v>18</v>
          </cell>
          <cell r="B49" t="str">
            <v>Computers</v>
          </cell>
          <cell r="C49">
            <v>22356</v>
          </cell>
          <cell r="D49">
            <v>115000</v>
          </cell>
          <cell r="F49">
            <v>137356</v>
          </cell>
          <cell r="G49">
            <v>17527</v>
          </cell>
          <cell r="H49">
            <v>0</v>
          </cell>
          <cell r="I49">
            <v>44151</v>
          </cell>
          <cell r="J49">
            <v>61678</v>
          </cell>
          <cell r="K49">
            <v>75678</v>
          </cell>
        </row>
        <row r="50">
          <cell r="A50" t="str">
            <v>19</v>
          </cell>
          <cell r="B50" t="str">
            <v>Furniture &amp; fixtures</v>
          </cell>
          <cell r="C50">
            <v>1952272.27</v>
          </cell>
          <cell r="D50">
            <v>114753.19999999995</v>
          </cell>
          <cell r="F50">
            <v>2067025.47</v>
          </cell>
          <cell r="G50">
            <v>779893</v>
          </cell>
          <cell r="H50">
            <v>0</v>
          </cell>
          <cell r="I50">
            <v>221076</v>
          </cell>
          <cell r="J50">
            <v>1000969</v>
          </cell>
          <cell r="K50">
            <v>1066056.47</v>
          </cell>
        </row>
        <row r="51">
          <cell r="A51" t="str">
            <v>20</v>
          </cell>
          <cell r="B51" t="str">
            <v>Laboratory Equipment</v>
          </cell>
          <cell r="C51">
            <v>1196180.22</v>
          </cell>
          <cell r="D51">
            <v>3681291</v>
          </cell>
          <cell r="E51">
            <v>1789</v>
          </cell>
          <cell r="F51">
            <v>4875682.42</v>
          </cell>
          <cell r="G51">
            <v>389896</v>
          </cell>
          <cell r="H51">
            <v>41</v>
          </cell>
          <cell r="I51">
            <v>234593</v>
          </cell>
          <cell r="J51">
            <v>624448</v>
          </cell>
          <cell r="K51">
            <v>4251234.42</v>
          </cell>
        </row>
        <row r="52">
          <cell r="A52" t="str">
            <v>21</v>
          </cell>
          <cell r="B52" t="str">
            <v>Office Equipment</v>
          </cell>
          <cell r="C52">
            <v>803545.8</v>
          </cell>
          <cell r="D52">
            <v>0</v>
          </cell>
          <cell r="F52">
            <v>803545.8</v>
          </cell>
          <cell r="G52">
            <v>315028</v>
          </cell>
          <cell r="H52">
            <v>0</v>
          </cell>
          <cell r="I52">
            <v>67953</v>
          </cell>
          <cell r="J52">
            <v>382981</v>
          </cell>
          <cell r="K52">
            <v>420564.80000000005</v>
          </cell>
        </row>
        <row r="53">
          <cell r="A53" t="str">
            <v>22</v>
          </cell>
          <cell r="B53" t="str">
            <v>Other Equipment</v>
          </cell>
          <cell r="C53">
            <v>43939.35</v>
          </cell>
          <cell r="D53">
            <v>109360</v>
          </cell>
          <cell r="F53">
            <v>153299.35</v>
          </cell>
          <cell r="G53">
            <v>23423</v>
          </cell>
          <cell r="H53">
            <v>0</v>
          </cell>
          <cell r="I53">
            <v>9486</v>
          </cell>
          <cell r="J53">
            <v>32909</v>
          </cell>
          <cell r="K53">
            <v>120390.35</v>
          </cell>
        </row>
        <row r="54">
          <cell r="A54" t="str">
            <v>23</v>
          </cell>
          <cell r="B54" t="str">
            <v>Air Conditioners</v>
          </cell>
          <cell r="C54">
            <v>1012546</v>
          </cell>
          <cell r="D54">
            <v>381004</v>
          </cell>
          <cell r="F54">
            <v>1393550</v>
          </cell>
          <cell r="G54">
            <v>463475</v>
          </cell>
          <cell r="H54">
            <v>0</v>
          </cell>
          <cell r="I54">
            <v>80877</v>
          </cell>
          <cell r="J54">
            <v>544352</v>
          </cell>
          <cell r="K54">
            <v>849198</v>
          </cell>
        </row>
        <row r="55">
          <cell r="A55" t="str">
            <v>24</v>
          </cell>
          <cell r="B55" t="str">
            <v>Vehicles</v>
          </cell>
          <cell r="C55">
            <v>1652981.06</v>
          </cell>
          <cell r="D55">
            <v>701354</v>
          </cell>
          <cell r="F55">
            <v>2354335.06</v>
          </cell>
          <cell r="G55">
            <v>479520</v>
          </cell>
          <cell r="I55">
            <v>364004</v>
          </cell>
          <cell r="J55">
            <v>843524</v>
          </cell>
          <cell r="K55">
            <v>1510811.06</v>
          </cell>
        </row>
        <row r="56">
          <cell r="A56" t="str">
            <v>25</v>
          </cell>
          <cell r="B56" t="str">
            <v>R &amp; D equipments</v>
          </cell>
          <cell r="C56">
            <v>13996906.99</v>
          </cell>
          <cell r="D56">
            <v>1358972.1600000001</v>
          </cell>
          <cell r="F56">
            <v>15355879.15</v>
          </cell>
          <cell r="G56">
            <v>5254513</v>
          </cell>
          <cell r="H56">
            <v>0</v>
          </cell>
          <cell r="I56">
            <v>1338096</v>
          </cell>
          <cell r="J56">
            <v>6592609</v>
          </cell>
          <cell r="K56">
            <v>8763270.1500000004</v>
          </cell>
        </row>
        <row r="57">
          <cell r="A57" t="str">
            <v>=</v>
          </cell>
          <cell r="B57" t="str">
            <v>=</v>
          </cell>
          <cell r="C57" t="str">
            <v>=</v>
          </cell>
          <cell r="D57" t="str">
            <v>=</v>
          </cell>
          <cell r="E57" t="str">
            <v>=</v>
          </cell>
          <cell r="F57" t="str">
            <v>=</v>
          </cell>
          <cell r="G57" t="str">
            <v>=</v>
          </cell>
          <cell r="H57" t="str">
            <v>=</v>
          </cell>
          <cell r="I57" t="str">
            <v>=</v>
          </cell>
          <cell r="J57" t="str">
            <v>=</v>
          </cell>
          <cell r="K57" t="str">
            <v>=</v>
          </cell>
        </row>
        <row r="58">
          <cell r="B58" t="str">
            <v>TOTAL</v>
          </cell>
          <cell r="C58">
            <v>81923420.079999983</v>
          </cell>
          <cell r="D58">
            <v>14434423.82</v>
          </cell>
          <cell r="E58">
            <v>1462195</v>
          </cell>
          <cell r="F58">
            <v>94895649.099999994</v>
          </cell>
          <cell r="G58">
            <v>22725220</v>
          </cell>
          <cell r="H58">
            <v>41</v>
          </cell>
          <cell r="I58">
            <v>5607850</v>
          </cell>
          <cell r="J58">
            <v>28333029</v>
          </cell>
          <cell r="K58">
            <v>66562620.100000001</v>
          </cell>
        </row>
        <row r="59">
          <cell r="A59" t="str">
            <v>=</v>
          </cell>
          <cell r="B59" t="str">
            <v>=</v>
          </cell>
          <cell r="C59" t="str">
            <v>=</v>
          </cell>
          <cell r="D59" t="str">
            <v>=</v>
          </cell>
          <cell r="E59" t="str">
            <v>=</v>
          </cell>
          <cell r="F59" t="str">
            <v>=</v>
          </cell>
          <cell r="G59" t="str">
            <v>=</v>
          </cell>
          <cell r="H59" t="str">
            <v>=</v>
          </cell>
          <cell r="I59" t="str">
            <v>=</v>
          </cell>
          <cell r="J59" t="str">
            <v>=</v>
          </cell>
          <cell r="K59" t="str">
            <v>=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Chart of Accounts"/>
      <sheetName val="ConsolCYInputs"/>
      <sheetName val="Cached Inputs"/>
      <sheetName val="Trial Balance"/>
      <sheetName val="TB Details"/>
      <sheetName val="Manual Adjustments"/>
      <sheetName val="Current Tax Expense"/>
      <sheetName val="Totals"/>
      <sheetName val="CTE Totals"/>
      <sheetName val="PY_Return_To_Provision"/>
      <sheetName val="Deferred Tax Continuity"/>
    </sheetNames>
    <sheetDataSet>
      <sheetData sheetId="0">
        <row r="10">
          <cell r="C10" t="str">
            <v>200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Staff Sal"/>
      <sheetName val="97-98"/>
      <sheetName val="OKS Data"/>
      <sheetName val="Schedules"/>
      <sheetName val="Masters"/>
      <sheetName val="vb 9&amp;10"/>
      <sheetName val="DATA"/>
      <sheetName val="sum pivot 2676"/>
      <sheetName val="clinton"/>
      <sheetName val="Cost Data"/>
      <sheetName val="Comp"/>
      <sheetName val="Adjustments"/>
      <sheetName val="UK"/>
      <sheetName val="entitlements"/>
      <sheetName val="Rates"/>
      <sheetName val="30.09.00"/>
      <sheetName val="#REF"/>
      <sheetName val="fa"/>
      <sheetName val="INV"/>
      <sheetName val="Basic Details"/>
      <sheetName val="PL Groupings"/>
      <sheetName val="BS Groupings"/>
      <sheetName val="Payroll_Statement"/>
      <sheetName val="R.1.5_GL Dump"/>
      <sheetName val="3A - Segment Calculation"/>
      <sheetName val="tb"/>
      <sheetName val="Labor abs-NMR"/>
      <sheetName val="Sch 7"/>
      <sheetName val=" AP 01"/>
      <sheetName val="Link 2001"/>
      <sheetName val="pack pnl-99"/>
      <sheetName val="BS Rec Control Sheet"/>
      <sheetName val="cap gains"/>
      <sheetName val="Lookup"/>
      <sheetName val="pay Register"/>
      <sheetName val="Parent Main"/>
      <sheetName val="leave encashment payable"/>
      <sheetName val="PopCache"/>
      <sheetName val="CRITERIA1"/>
      <sheetName val="Ann.VI.2"/>
      <sheetName val="0"/>
      <sheetName val="Sheet1"/>
      <sheetName val="MASTER LIST OF NPD SKU"/>
      <sheetName val="Summary"/>
      <sheetName val="200404 trial balance"/>
      <sheetName val="ANNEXURE-P&amp;L"/>
      <sheetName val="Directors"/>
      <sheetName val="Lists"/>
      <sheetName val="Mumbai"/>
      <sheetName val="ODEP"/>
      <sheetName val="Glossary"/>
      <sheetName val="List"/>
      <sheetName val="Main"/>
      <sheetName val="BS_Rec_Control_Sheet"/>
      <sheetName val="Staff_Sal"/>
      <sheetName val="vb_9&amp;10"/>
      <sheetName val="pay_Register"/>
      <sheetName val="OKS_Data"/>
      <sheetName val="30_09_00"/>
      <sheetName val="R_1_5_GL_Dump"/>
      <sheetName val="3A_-_Segment_Calculation"/>
      <sheetName val="Basic_Details"/>
      <sheetName val="PL_Groupings"/>
      <sheetName val="BS_Groupings"/>
      <sheetName val="sum_pivot_2676"/>
      <sheetName val="Cost_Data"/>
      <sheetName val="Sch_7"/>
      <sheetName val="Labor_abs-NMR"/>
      <sheetName val="200404_trial_balance"/>
      <sheetName val="Ann_VI_2"/>
      <sheetName val="Link_2001"/>
      <sheetName val="pack_pnl-99"/>
      <sheetName val="cap_gains"/>
      <sheetName val="leave_encashment_payable"/>
      <sheetName val="_AP_01"/>
      <sheetName val="Parent_Main"/>
      <sheetName val="hmax_2"/>
      <sheetName val="Worksheet Masters"/>
      <sheetName val="Detail"/>
      <sheetName val="Form 3CD"/>
      <sheetName val="BS-P&amp;L"/>
      <sheetName val="Interim NWA converted Dec02~Bal"/>
      <sheetName val="FRINGE_BENEFIT_INFO"/>
      <sheetName val="GENERAL2"/>
      <sheetName val="IT_TDS_TCS_FBT"/>
      <sheetName val="PART_C"/>
      <sheetName val="Balance Sheet "/>
      <sheetName val="IBSL"/>
      <sheetName val="MARGINI ITALIA"/>
      <sheetName val="1 OS MONTHLY"/>
      <sheetName val="Checklist"/>
      <sheetName val="BS_Rec_Control_Sheet1"/>
      <sheetName val="Staff_Sal1"/>
      <sheetName val="vb_9&amp;101"/>
      <sheetName val="pay_Register1"/>
      <sheetName val="OKS_Data1"/>
      <sheetName val="30_09_001"/>
      <sheetName val="R_1_5_GL_Dump1"/>
      <sheetName val="3A_-_Segment_Calculation1"/>
      <sheetName val="Basic_Details1"/>
      <sheetName val="PL_Groupings1"/>
      <sheetName val="BS_Groupings1"/>
      <sheetName val="sum_pivot_26761"/>
      <sheetName val="Cost_Data1"/>
      <sheetName val="Sch_71"/>
      <sheetName val="Labor_abs-NMR1"/>
      <sheetName val="200404_trial_balance1"/>
      <sheetName val="Ann_VI_21"/>
      <sheetName val="Link_20011"/>
      <sheetName val="pack_pnl-991"/>
      <sheetName val="cap_gains1"/>
      <sheetName val="leave_encashment_payable1"/>
      <sheetName val="_AP_011"/>
      <sheetName val="Parent_Main1"/>
      <sheetName val="MASTER_LIST_OF_NPD_SKU"/>
      <sheetName val="Form_3CD"/>
      <sheetName val="Loan Data"/>
      <sheetName val="BS_Rec_Control_Sheet2"/>
      <sheetName val="Staff_Sal2"/>
      <sheetName val="vb_9&amp;102"/>
      <sheetName val="pay_Register2"/>
      <sheetName val="OKS_Data2"/>
      <sheetName val="30_09_002"/>
      <sheetName val="R_1_5_GL_Dump2"/>
      <sheetName val="3A_-_Segment_Calculation2"/>
      <sheetName val="Basic_Details2"/>
      <sheetName val="PL_Groupings2"/>
      <sheetName val="BS_Groupings2"/>
      <sheetName val="sum_pivot_26762"/>
      <sheetName val="Cost_Data2"/>
      <sheetName val="Sch_72"/>
      <sheetName val="Labor_abs-NMR2"/>
      <sheetName val="200404_trial_balance2"/>
      <sheetName val="Ann_VI_22"/>
      <sheetName val="Link_20012"/>
      <sheetName val="pack_pnl-992"/>
      <sheetName val="cap_gains2"/>
      <sheetName val="leave_encashment_payable2"/>
      <sheetName val="_AP_012"/>
      <sheetName val="Parent_Main2"/>
      <sheetName val="MASTER_LIST_OF_NPD_SKU1"/>
      <sheetName val="Form_3CD1"/>
      <sheetName val="VCS - Dec - G&amp;T"/>
      <sheetName val="MAR-02"/>
      <sheetName val="sEP2003"/>
      <sheetName val="Strategy"/>
      <sheetName val="Rate Rec"/>
      <sheetName val="Schedule G1"/>
      <sheetName val="Cost-YTD"/>
      <sheetName val="April00"/>
      <sheetName val="May00"/>
      <sheetName val="June00"/>
      <sheetName val="July00"/>
      <sheetName val="August00"/>
      <sheetName val="September00"/>
      <sheetName val="October00"/>
      <sheetName val="November00"/>
      <sheetName val="December00"/>
      <sheetName val="January01"/>
      <sheetName val="February01"/>
      <sheetName val="March01"/>
      <sheetName val="Bonus Sheet_12_adj"/>
      <sheetName val="bonus sheet"/>
      <sheetName val="bonus sheet_3months"/>
      <sheetName val="217(2A)"/>
      <sheetName val="Total0001"/>
      <sheetName val="IT Working"/>
      <sheetName val="Certificate"/>
      <sheetName val="Form16"/>
      <sheetName val="Form 24 workings"/>
      <sheetName val="Form 24"/>
      <sheetName val="Conveyance_no"/>
      <sheetName val="salarwithoutpay"/>
      <sheetName val="ALLOWANCE"/>
      <sheetName val="statement to BOM"/>
      <sheetName val="Arrears working"/>
      <sheetName val="Q"/>
      <sheetName val="T"/>
      <sheetName val="U"/>
      <sheetName val="V"/>
      <sheetName val="W"/>
      <sheetName val="X"/>
      <sheetName val="Y"/>
      <sheetName val="Z"/>
      <sheetName val="NUMB"/>
      <sheetName val="PF_abstract-2000-01"/>
      <sheetName val="PF_Consolidation-2000-01"/>
      <sheetName val="form3A"/>
      <sheetName val="schwing_emp_tds_ms_2000"/>
      <sheetName val="RELACION REFERENCIAS"/>
      <sheetName val="Capital Structure"/>
      <sheetName val="P&amp;L February"/>
      <sheetName val="P&amp;L Feb 2001 cumulative"/>
      <sheetName val="Contribution"/>
      <sheetName val="Rx"/>
      <sheetName val="Worksheet_Masters"/>
      <sheetName val="Loan_Data"/>
      <sheetName val="BS_Rec_Control_Sheet3"/>
      <sheetName val="Staff_Sal3"/>
      <sheetName val="vb_9&amp;103"/>
      <sheetName val="pay_Register3"/>
      <sheetName val="OKS_Data3"/>
      <sheetName val="30_09_003"/>
      <sheetName val="R_1_5_GL_Dump3"/>
      <sheetName val="3A_-_Segment_Calculation3"/>
      <sheetName val="Basic_Details3"/>
      <sheetName val="PL_Groupings3"/>
      <sheetName val="BS_Groupings3"/>
      <sheetName val="sum_pivot_26763"/>
      <sheetName val="Cost_Data3"/>
      <sheetName val="Labor_abs-NMR3"/>
      <sheetName val="Sch_73"/>
      <sheetName val="200404_trial_balance3"/>
      <sheetName val="Link_20013"/>
      <sheetName val="pack_pnl-993"/>
      <sheetName val="cap_gains3"/>
      <sheetName val="Ann_VI_23"/>
      <sheetName val="leave_encashment_payable3"/>
      <sheetName val="_AP_013"/>
      <sheetName val="Parent_Main3"/>
      <sheetName val="MASTER_LIST_OF_NPD_SKU2"/>
      <sheetName val="Form_3CD2"/>
      <sheetName val="Worksheet_Masters1"/>
      <sheetName val="Loan_Data1"/>
      <sheetName val="Metadata"/>
      <sheetName val="BS_Rec_Control_Sheet4"/>
      <sheetName val="Staff_Sal4"/>
      <sheetName val="vb_9&amp;104"/>
      <sheetName val="pay_Register4"/>
      <sheetName val="OKS_Data4"/>
      <sheetName val="30_09_004"/>
      <sheetName val="R_1_5_GL_Dump4"/>
      <sheetName val="3A_-_Segment_Calculation4"/>
      <sheetName val="Basic_Details4"/>
      <sheetName val="PL_Groupings4"/>
      <sheetName val="BS_Groupings4"/>
      <sheetName val="sum_pivot_26764"/>
      <sheetName val="Cost_Data4"/>
      <sheetName val="Sch_74"/>
      <sheetName val="Labor_abs-NMR4"/>
      <sheetName val="200404_trial_balance4"/>
      <sheetName val="Ann_VI_24"/>
      <sheetName val="leave_encashment_payable4"/>
      <sheetName val="Link_20014"/>
      <sheetName val="pack_pnl-994"/>
      <sheetName val="cap_gains4"/>
      <sheetName val="_AP_014"/>
      <sheetName val="Parent_Main4"/>
      <sheetName val="MASTER_LIST_OF_NPD_SKU3"/>
      <sheetName val="Form_3CD3"/>
      <sheetName val="Loan_Data2"/>
      <sheetName val="Worksheet_Masters2"/>
      <sheetName val="Interim_NWA_converted_Dec02~Bal"/>
      <sheetName val="trial (2)"/>
      <sheetName val="DEP99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BALSHT"/>
      <sheetName val="P&amp;L"/>
      <sheetName val="SCH-A,B,C"/>
      <sheetName val="SCH- D"/>
      <sheetName val="SCH-E,F,G,H,I"/>
      <sheetName val="P&amp;L Schedules"/>
      <sheetName val="BS Abstract"/>
      <sheetName val="Sub-schedules"/>
      <sheetName val="Depreciation"/>
      <sheetName val="Depreciation (2)"/>
      <sheetName val="lease"/>
      <sheetName val="ExchDiff"/>
      <sheetName val="Interest.wrkg for 31-Mar-02"/>
      <sheetName val="Turnover"/>
      <sheetName val="Annex 1"/>
      <sheetName val="Directors"/>
      <sheetName val="Comp"/>
      <sheetName val="NOTES"/>
      <sheetName val="FINAL"/>
      <sheetName val="DrillDownMacros"/>
      <sheetName val="fa"/>
      <sheetName val="Intl S&amp;M"/>
      <sheetName val="Marketing"/>
      <sheetName val="Operations"/>
      <sheetName val="Product Mgmt"/>
      <sheetName val="Production"/>
      <sheetName val="R&amp;D"/>
      <sheetName val="Sales"/>
      <sheetName val="QCMacros"/>
      <sheetName val="clinton"/>
      <sheetName val="Inputs &amp; Rev-Exp."/>
      <sheetName val="Input"/>
      <sheetName val="Parameters&amp;Notes"/>
      <sheetName val="ASSETS_LIAB"/>
      <sheetName val="Mobilephones"/>
      <sheetName val="Masters"/>
      <sheetName val="PV"/>
      <sheetName val="BS Schdl-3-Fixed Assets"/>
      <sheetName val="Ann.VI.2"/>
      <sheetName val="trial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structions"/>
      <sheetName val="SOX Checklist"/>
      <sheetName val="for BAM Reporting ----&gt;"/>
      <sheetName val="IS and BS Tax Supplemental"/>
      <sheetName val="HFM Consol P&amp;L"/>
      <sheetName val="HFM Consol BS"/>
      <sheetName val="CAD Spot Avg"/>
      <sheetName val="Tax Provision Calc --&gt;"/>
      <sheetName val="100-JE template"/>
      <sheetName val="100-JE Rec"/>
      <sheetName val="Rate Recon"/>
      <sheetName val="Current Tax"/>
      <sheetName val="Deferred Tax "/>
      <sheetName val="Return-to-Provision"/>
      <sheetName val="2015 Carryback REquest Error"/>
      <sheetName val="Tax Account Analysis"/>
      <sheetName val="Tax Payable Continuity"/>
      <sheetName val="DTA Recognition Analysis"/>
      <sheetName val="RPS Sept 28 5 yr Plan"/>
      <sheetName val="Supporting Doc's---&gt;"/>
      <sheetName val="RPS TB"/>
      <sheetName val="Highlander TB"/>
      <sheetName val="THIN LP TB"/>
      <sheetName val="I -  Tax Rates"/>
      <sheetName val="K - Fixed Assets"/>
      <sheetName val="K2 - Sch 8 CCA "/>
      <sheetName val="K3 - Sch 10 CEC"/>
      <sheetName val="N - Reserves "/>
      <sheetName val="PY Docs --&gt;"/>
      <sheetName val="Cover_Page"/>
      <sheetName val="SOX_Checklist"/>
      <sheetName val="for_BAM_Reporting_----&gt;"/>
      <sheetName val="IS_and_BS_Tax_Supplemental"/>
      <sheetName val="HFM_Consol_P&amp;L"/>
      <sheetName val="HFM_Consol_BS"/>
      <sheetName val="CAD_Spot_Avg"/>
      <sheetName val="Tax_Provision_Calc_--&gt;"/>
      <sheetName val="100-JE_template"/>
      <sheetName val="100-JE_Rec"/>
      <sheetName val="Rate_Recon"/>
      <sheetName val="Current_Tax"/>
      <sheetName val="Deferred_Tax_"/>
      <sheetName val="2015_Carryback_REquest_Error"/>
      <sheetName val="Tax_Account_Analysis"/>
      <sheetName val="Tax_Payable_Continuity"/>
      <sheetName val="DTA_Recognition_Analysis"/>
      <sheetName val="RPS_Sept_28_5_yr_Plan"/>
      <sheetName val="Supporting_Doc's---&gt;"/>
      <sheetName val="RPS_TB"/>
      <sheetName val="Highlander_TB"/>
      <sheetName val="THIN_LP_TB"/>
      <sheetName val="I_-__Tax_Rates"/>
      <sheetName val="K_-_Fixed_Assets"/>
      <sheetName val="K2_-_Sch_8_CCA_"/>
      <sheetName val="K3_-_Sch_10_CEC"/>
      <sheetName val="N_-_Reserves_"/>
      <sheetName val="PY_Docs_--&gt;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>
        <row r="1">
          <cell r="K1" t="str">
            <v>Positive</v>
          </cell>
        </row>
        <row r="2">
          <cell r="K2" t="str">
            <v>Negative</v>
          </cell>
        </row>
        <row r="3">
          <cell r="K3" t="str">
            <v>N/A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">
          <cell r="K1" t="str">
            <v>Positive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udget Summary"/>
      <sheetName val="Rent &amp; Shared Service Costs"/>
      <sheetName val="Depreciation &amp; FBT"/>
      <sheetName val="Account Codes"/>
      <sheetName val="Account Mapping to BAM"/>
      <sheetName val="Macro1"/>
      <sheetName val="Contents"/>
      <sheetName val="Date"/>
      <sheetName val="SSworking sheet"/>
    </sheetNames>
    <sheetDataSet>
      <sheetData sheetId="0">
        <row r="1">
          <cell r="E1" t="str">
            <v>&lt;Region&gt;</v>
          </cell>
        </row>
        <row r="2">
          <cell r="E2" t="str">
            <v>NSW</v>
          </cell>
        </row>
        <row r="3">
          <cell r="E3" t="str">
            <v>VIC</v>
          </cell>
        </row>
        <row r="4">
          <cell r="E4" t="str">
            <v>QLD</v>
          </cell>
        </row>
        <row r="5">
          <cell r="E5" t="str">
            <v>WA</v>
          </cell>
        </row>
        <row r="6">
          <cell r="E6" t="str">
            <v>Asset Management</v>
          </cell>
        </row>
        <row r="7">
          <cell r="E7" t="str">
            <v xml:space="preserve">Executive </v>
          </cell>
        </row>
        <row r="8">
          <cell r="E8" t="str">
            <v>Accounting Shared Services</v>
          </cell>
        </row>
        <row r="9">
          <cell r="E9" t="str">
            <v>Legal</v>
          </cell>
        </row>
        <row r="10">
          <cell r="E10" t="str">
            <v>Project Solutions</v>
          </cell>
        </row>
        <row r="11">
          <cell r="E11" t="str">
            <v>Marketing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MI-317"/>
      <sheetName val="MI-318"/>
      <sheetName val="BS_203"/>
      <sheetName val="list of directo"/>
      <sheetName val="Sheet1"/>
      <sheetName val="FORM-16"/>
      <sheetName val="Sheet3"/>
      <sheetName val="현장지지물물량"/>
      <sheetName val="BS(S0011)"/>
      <sheetName val="MASTER"/>
      <sheetName val="vendor listing (2)"/>
      <sheetName val="Schedules PL"/>
      <sheetName val="Schedules BS"/>
      <sheetName val="TB"/>
      <sheetName val="Hub Inputs"/>
      <sheetName val="Schedule"/>
      <sheetName val="Misc"/>
      <sheetName val="Sch BS"/>
      <sheetName val="MAPPINGS"/>
      <sheetName val="payrollreco"/>
      <sheetName val="CF"/>
      <sheetName val="P &amp; l "/>
      <sheetName val="List"/>
      <sheetName val="Challan"/>
      <sheetName val="Sales -CT1"/>
      <sheetName val="SHARES accr_dilu (NOT USING)"/>
      <sheetName val="Rates"/>
      <sheetName val="CAP"/>
      <sheetName val="PCS DATA"/>
      <sheetName val="3BPA00132-5-3 W plan HVPNL"/>
      <sheetName val="Comp"/>
      <sheetName val="RENOVATION"/>
      <sheetName val="CRITERIA1"/>
      <sheetName val="Annexure"/>
      <sheetName val="HALF STOCK - WARRANTS"/>
      <sheetName val="Lead"/>
      <sheetName val="Sheet2"/>
      <sheetName val="Short or Excess Payment"/>
      <sheetName val="Balance Sheet "/>
      <sheetName val="Index Calculation"/>
      <sheetName val="OneSource Data (2)"/>
      <sheetName val="Links"/>
      <sheetName val="MDP&amp;L"/>
      <sheetName val="TrialBal"/>
      <sheetName val="TB- 11 months"/>
      <sheetName val="Data"/>
      <sheetName val="B&amp;S31-03-08"/>
      <sheetName val="AN - H"/>
      <sheetName val="Sales &amp; Marketing Dashboard"/>
      <sheetName val="Results PL"/>
      <sheetName val="Activity Codes"/>
      <sheetName val="Setup Variables"/>
      <sheetName val="Ref"/>
      <sheetName val="Fact.Equip."/>
      <sheetName val="Depr Sch"/>
      <sheetName val="Feb-09"/>
      <sheetName val="Salary-Employeewise"/>
      <sheetName val="Schedu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Details"/>
      <sheetName val="TDS"/>
      <sheetName val="Taxes paid and Verification"/>
      <sheetName val="80G"/>
      <sheetName val="Calculator"/>
      <sheetName val="Instructions"/>
      <sheetName val="Pre-XML Check"/>
    </sheetNames>
    <sheetDataSet>
      <sheetData sheetId="0">
        <row r="1">
          <cell r="BH1" t="str">
            <v>(Select)</v>
          </cell>
        </row>
        <row r="2">
          <cell r="BH2" t="str">
            <v>01-ANDAMAN AND NICOBAR ISLANDS</v>
          </cell>
        </row>
        <row r="3">
          <cell r="BH3" t="str">
            <v>02-ANDHRA PRADESH</v>
          </cell>
        </row>
        <row r="4">
          <cell r="BH4" t="str">
            <v>03-ARUNACHAL PRADESH</v>
          </cell>
        </row>
        <row r="5">
          <cell r="BH5" t="str">
            <v>04-ASSAM</v>
          </cell>
        </row>
        <row r="6">
          <cell r="BH6" t="str">
            <v>05-BIHAR</v>
          </cell>
        </row>
        <row r="7">
          <cell r="BH7" t="str">
            <v>06-CHANDIGARH</v>
          </cell>
        </row>
        <row r="8">
          <cell r="BH8" t="str">
            <v>07-DADRA AND NAGAR HAVELI</v>
          </cell>
        </row>
        <row r="9">
          <cell r="BH9" t="str">
            <v>08-DAMAN AND DIU</v>
          </cell>
        </row>
        <row r="10">
          <cell r="BH10" t="str">
            <v>09-DELHI</v>
          </cell>
        </row>
        <row r="11">
          <cell r="BH11" t="str">
            <v>10-GOA</v>
          </cell>
        </row>
        <row r="12">
          <cell r="BH12" t="str">
            <v>11-GUJARAT</v>
          </cell>
        </row>
        <row r="13">
          <cell r="BH13" t="str">
            <v>12-HARYANA</v>
          </cell>
        </row>
        <row r="14">
          <cell r="BH14" t="str">
            <v>13-HIMACHAL PRADESH</v>
          </cell>
        </row>
        <row r="15">
          <cell r="BH15" t="str">
            <v>14-JAMMU AND KASHMIR</v>
          </cell>
        </row>
        <row r="16">
          <cell r="BH16" t="str">
            <v>15-KARNATAKA</v>
          </cell>
        </row>
        <row r="17">
          <cell r="BH17" t="str">
            <v>16-KERALA</v>
          </cell>
        </row>
        <row r="18">
          <cell r="BH18" t="str">
            <v>17-LAKHSWADEEP</v>
          </cell>
        </row>
        <row r="19">
          <cell r="BH19" t="str">
            <v>18-MADHYA PRADESH</v>
          </cell>
        </row>
        <row r="20">
          <cell r="BH20" t="str">
            <v>19-MAHARASHTRA</v>
          </cell>
        </row>
        <row r="21">
          <cell r="BH21" t="str">
            <v>20-MANIPUR</v>
          </cell>
        </row>
        <row r="22">
          <cell r="BH22" t="str">
            <v>21-MEGHALAYA</v>
          </cell>
        </row>
        <row r="23">
          <cell r="BH23" t="str">
            <v>22-MIZORAM</v>
          </cell>
        </row>
        <row r="24">
          <cell r="BH24" t="str">
            <v>23-NAGALAND</v>
          </cell>
        </row>
        <row r="25">
          <cell r="BH25" t="str">
            <v>24-ORISSA</v>
          </cell>
        </row>
        <row r="26">
          <cell r="BH26" t="str">
            <v>25-PONDICHERRY</v>
          </cell>
        </row>
        <row r="27">
          <cell r="BH27" t="str">
            <v>26-PUNJAB</v>
          </cell>
        </row>
        <row r="28">
          <cell r="BH28" t="str">
            <v>27-RAJASTHAN</v>
          </cell>
        </row>
        <row r="29">
          <cell r="BH29" t="str">
            <v>28-SIKKIM</v>
          </cell>
        </row>
        <row r="30">
          <cell r="BH30" t="str">
            <v>29-TAMILNADU</v>
          </cell>
        </row>
        <row r="31">
          <cell r="BH31" t="str">
            <v>30-TRIPURA</v>
          </cell>
        </row>
        <row r="32">
          <cell r="BH32" t="str">
            <v>31-UTTAR PRADESH</v>
          </cell>
        </row>
        <row r="33">
          <cell r="BH33" t="str">
            <v>32-WEST BENGAL</v>
          </cell>
        </row>
        <row r="34">
          <cell r="BH34" t="str">
            <v>33-CHHATISHGARH</v>
          </cell>
        </row>
        <row r="35">
          <cell r="BH35" t="str">
            <v>34-UTTARANCHAL</v>
          </cell>
        </row>
        <row r="36">
          <cell r="BH36" t="str">
            <v>35-JHARKHAND</v>
          </cell>
        </row>
        <row r="37">
          <cell r="BH37" t="str">
            <v>99-FOREIGN</v>
          </cell>
        </row>
        <row r="139">
          <cell r="F139" t="str">
            <v>(Select)</v>
          </cell>
        </row>
        <row r="140">
          <cell r="F140" t="str">
            <v>91-INDIA</v>
          </cell>
        </row>
        <row r="141">
          <cell r="F141" t="str">
            <v>93-AFGHANISTAN</v>
          </cell>
        </row>
        <row r="142">
          <cell r="F142" t="str">
            <v>355-ALBANIA</v>
          </cell>
        </row>
        <row r="143">
          <cell r="F143" t="str">
            <v>213-ALGERIA</v>
          </cell>
        </row>
        <row r="144">
          <cell r="F144" t="str">
            <v>376-ANDORRA</v>
          </cell>
        </row>
        <row r="145">
          <cell r="F145" t="str">
            <v>244-ANGOLA</v>
          </cell>
        </row>
        <row r="146">
          <cell r="F146" t="str">
            <v>1268-ANTIGUA AND BARBUDA</v>
          </cell>
        </row>
        <row r="147">
          <cell r="F147" t="str">
            <v>54-ARGENTINA</v>
          </cell>
        </row>
        <row r="148">
          <cell r="F148" t="str">
            <v>374-ARMENIA</v>
          </cell>
        </row>
        <row r="149">
          <cell r="F149" t="str">
            <v>61-AUSTRALIA</v>
          </cell>
        </row>
        <row r="150">
          <cell r="F150" t="str">
            <v>43-AUSTRIA</v>
          </cell>
        </row>
        <row r="151">
          <cell r="F151" t="str">
            <v>994-AZERBAIJAN</v>
          </cell>
        </row>
        <row r="152">
          <cell r="F152" t="str">
            <v>1242-BAHAMAS</v>
          </cell>
        </row>
        <row r="153">
          <cell r="F153" t="str">
            <v>973-BAHRAIN</v>
          </cell>
        </row>
        <row r="154">
          <cell r="F154" t="str">
            <v>880-BANGLADESH</v>
          </cell>
        </row>
        <row r="155">
          <cell r="F155" t="str">
            <v>1246-BARBADOS</v>
          </cell>
        </row>
        <row r="156">
          <cell r="F156" t="str">
            <v>375-BELARUS</v>
          </cell>
        </row>
        <row r="157">
          <cell r="F157" t="str">
            <v>32-BELGIUM</v>
          </cell>
        </row>
        <row r="158">
          <cell r="F158" t="str">
            <v>501-BELIZE</v>
          </cell>
        </row>
        <row r="159">
          <cell r="F159" t="str">
            <v>229-BENIN</v>
          </cell>
        </row>
        <row r="160">
          <cell r="F160" t="str">
            <v>975-BHUTAN</v>
          </cell>
        </row>
        <row r="161">
          <cell r="F161" t="str">
            <v xml:space="preserve">591-BOLIVIA </v>
          </cell>
        </row>
        <row r="162">
          <cell r="F162" t="str">
            <v>387-BOSNIA AND HERZEGOVINA</v>
          </cell>
        </row>
        <row r="163">
          <cell r="F163" t="str">
            <v>267-BOTSWANA</v>
          </cell>
        </row>
        <row r="164">
          <cell r="F164" t="str">
            <v>55-BRAZIL</v>
          </cell>
        </row>
        <row r="165">
          <cell r="F165" t="str">
            <v>673-BRUNEI DARUSSALAM</v>
          </cell>
        </row>
        <row r="166">
          <cell r="F166" t="str">
            <v>359-BULGARIA</v>
          </cell>
        </row>
        <row r="167">
          <cell r="F167" t="str">
            <v>226-BURKINA FASO</v>
          </cell>
        </row>
        <row r="168">
          <cell r="F168" t="str">
            <v>257-BURUNDI</v>
          </cell>
        </row>
        <row r="169">
          <cell r="F169" t="str">
            <v>855-CAMBODIA</v>
          </cell>
        </row>
        <row r="170">
          <cell r="F170" t="str">
            <v>237-CAMEROON</v>
          </cell>
        </row>
        <row r="171">
          <cell r="F171" t="str">
            <v>1-CANADA</v>
          </cell>
        </row>
        <row r="172">
          <cell r="F172" t="str">
            <v>238-CAPE VERDE</v>
          </cell>
        </row>
        <row r="173">
          <cell r="F173" t="str">
            <v>236-CENTRAL AFRICAN REPUBLIC</v>
          </cell>
        </row>
        <row r="174">
          <cell r="F174" t="str">
            <v>235-CHAD</v>
          </cell>
        </row>
        <row r="175">
          <cell r="F175" t="str">
            <v>56-CHILE</v>
          </cell>
        </row>
        <row r="176">
          <cell r="F176" t="str">
            <v>86-CHINA</v>
          </cell>
        </row>
        <row r="177">
          <cell r="F177" t="str">
            <v>57-COLOMBIA</v>
          </cell>
        </row>
        <row r="178">
          <cell r="F178" t="str">
            <v>270-COMOROS</v>
          </cell>
        </row>
        <row r="179">
          <cell r="F179" t="str">
            <v>242-CONGO, REPUBLIC OF THE...</v>
          </cell>
        </row>
        <row r="180">
          <cell r="F180" t="str">
            <v>506-COSTA RICA</v>
          </cell>
        </row>
        <row r="181">
          <cell r="F181" t="str">
            <v>225-CÔTE D'IVOIRE (IVORY COAST)</v>
          </cell>
        </row>
        <row r="182">
          <cell r="F182" t="str">
            <v>385-CROATIA</v>
          </cell>
        </row>
        <row r="183">
          <cell r="F183" t="str">
            <v>53-CUBA</v>
          </cell>
        </row>
        <row r="184">
          <cell r="F184" t="str">
            <v>357-CYPRUS</v>
          </cell>
        </row>
        <row r="185">
          <cell r="F185" t="str">
            <v>420-CZECH REPUBLIC</v>
          </cell>
        </row>
        <row r="186">
          <cell r="F186" t="str">
            <v>850-DEMOCRATIC PEOPLE'S REPUBLIC OF KOREA (NORTH KOREA)</v>
          </cell>
        </row>
        <row r="187">
          <cell r="F187" t="str">
            <v>243-DEMOCRATIC REPUBLIC OF THE CONGO</v>
          </cell>
        </row>
        <row r="188">
          <cell r="F188" t="str">
            <v>45-DENMARK</v>
          </cell>
        </row>
        <row r="189">
          <cell r="F189" t="str">
            <v>253-DJIBOUTI</v>
          </cell>
        </row>
        <row r="190">
          <cell r="F190" t="str">
            <v>1767-DOMINICA</v>
          </cell>
        </row>
        <row r="191">
          <cell r="F191" t="str">
            <v>1809-DOMINICAN REPUBLIC</v>
          </cell>
        </row>
        <row r="192">
          <cell r="F192" t="str">
            <v>593-ECUADOR</v>
          </cell>
        </row>
        <row r="193">
          <cell r="F193" t="str">
            <v>20-EGYPT</v>
          </cell>
        </row>
        <row r="194">
          <cell r="F194" t="str">
            <v>503-EL SALVADOR</v>
          </cell>
        </row>
        <row r="195">
          <cell r="F195" t="str">
            <v>240-EQUATORIAL GUINEA</v>
          </cell>
        </row>
        <row r="196">
          <cell r="F196" t="str">
            <v>291-ERITREA</v>
          </cell>
        </row>
        <row r="197">
          <cell r="F197" t="str">
            <v>372-ESTONIA</v>
          </cell>
        </row>
        <row r="198">
          <cell r="F198" t="str">
            <v>251-ETHIOPIA</v>
          </cell>
        </row>
        <row r="199">
          <cell r="F199" t="str">
            <v>679-FIJI ISLANDS</v>
          </cell>
        </row>
        <row r="200">
          <cell r="F200" t="str">
            <v>358-FINLAND</v>
          </cell>
        </row>
        <row r="201">
          <cell r="F201" t="str">
            <v>33-FRANCE</v>
          </cell>
        </row>
        <row r="202">
          <cell r="F202" t="str">
            <v>241-GABON</v>
          </cell>
        </row>
        <row r="203">
          <cell r="F203" t="str">
            <v>220-GAMBIA</v>
          </cell>
        </row>
        <row r="204">
          <cell r="F204" t="str">
            <v>995-GEORGIA</v>
          </cell>
        </row>
        <row r="205">
          <cell r="F205" t="str">
            <v>49-GERMANY</v>
          </cell>
        </row>
        <row r="206">
          <cell r="F206" t="str">
            <v>233-GHANA</v>
          </cell>
        </row>
        <row r="207">
          <cell r="F207" t="str">
            <v>30-GREECE</v>
          </cell>
        </row>
        <row r="208">
          <cell r="F208" t="str">
            <v>1473-GRENADA</v>
          </cell>
        </row>
        <row r="209">
          <cell r="F209" t="str">
            <v>502-GUATEMALA</v>
          </cell>
        </row>
        <row r="210">
          <cell r="F210" t="str">
            <v>224-GUINEA</v>
          </cell>
        </row>
        <row r="211">
          <cell r="F211" t="str">
            <v>245-GUINEA-BISSAU</v>
          </cell>
        </row>
        <row r="212">
          <cell r="F212" t="str">
            <v>592-GUYANA</v>
          </cell>
        </row>
        <row r="213">
          <cell r="F213" t="str">
            <v>509-HAITI</v>
          </cell>
        </row>
        <row r="214">
          <cell r="F214" t="str">
            <v>504-HONDURAS</v>
          </cell>
        </row>
        <row r="215">
          <cell r="F215" t="str">
            <v>36-HUNGARY</v>
          </cell>
        </row>
        <row r="216">
          <cell r="F216" t="str">
            <v>354-ICELAND</v>
          </cell>
        </row>
        <row r="217">
          <cell r="F217" t="str">
            <v>91-INDIA</v>
          </cell>
        </row>
        <row r="218">
          <cell r="F218" t="str">
            <v>62-INDONESIA</v>
          </cell>
        </row>
        <row r="219">
          <cell r="F219" t="str">
            <v>98-IRAN</v>
          </cell>
        </row>
        <row r="220">
          <cell r="F220" t="str">
            <v>964-IRAQ</v>
          </cell>
        </row>
        <row r="221">
          <cell r="F221" t="str">
            <v>353-IRELAND</v>
          </cell>
        </row>
        <row r="222">
          <cell r="F222" t="str">
            <v>972-ISRAEL</v>
          </cell>
        </row>
        <row r="223">
          <cell r="F223" t="str">
            <v>5-ITALY</v>
          </cell>
        </row>
        <row r="224">
          <cell r="F224" t="str">
            <v>1876-JAMAICA</v>
          </cell>
        </row>
        <row r="225">
          <cell r="F225" t="str">
            <v>81-JAPAN</v>
          </cell>
        </row>
        <row r="226">
          <cell r="F226" t="str">
            <v>962-JORDAN</v>
          </cell>
        </row>
        <row r="227">
          <cell r="F227" t="str">
            <v>7-KAZAKHSTAN</v>
          </cell>
        </row>
        <row r="228">
          <cell r="F228" t="str">
            <v>254-KENYA</v>
          </cell>
        </row>
        <row r="229">
          <cell r="F229" t="str">
            <v>686-KIRIBATI</v>
          </cell>
        </row>
        <row r="230">
          <cell r="F230" t="str">
            <v>965-KUWAIT</v>
          </cell>
        </row>
        <row r="231">
          <cell r="F231" t="str">
            <v>996-KYRGYZSTAN</v>
          </cell>
        </row>
        <row r="232">
          <cell r="F232" t="str">
            <v>856-LAO PEOPLE'S DEMOCRATIC REPUBLIC</v>
          </cell>
        </row>
        <row r="233">
          <cell r="F233" t="str">
            <v>371-LATVIA</v>
          </cell>
        </row>
        <row r="234">
          <cell r="F234" t="str">
            <v>961-LEBANON</v>
          </cell>
        </row>
        <row r="235">
          <cell r="F235" t="str">
            <v>266-LESOTHO</v>
          </cell>
        </row>
        <row r="236">
          <cell r="F236" t="str">
            <v>231-LIBERIA</v>
          </cell>
        </row>
        <row r="237">
          <cell r="F237" t="str">
            <v>218-LIBYA</v>
          </cell>
        </row>
        <row r="238">
          <cell r="F238" t="str">
            <v>423-LIECHTENSTEIN</v>
          </cell>
        </row>
        <row r="239">
          <cell r="F239" t="str">
            <v>370-LITHUANIA</v>
          </cell>
        </row>
        <row r="240">
          <cell r="F240" t="str">
            <v>352-LUXEMBOURG</v>
          </cell>
        </row>
        <row r="241">
          <cell r="F241" t="str">
            <v>389-MACEDONIA</v>
          </cell>
        </row>
        <row r="242">
          <cell r="F242" t="str">
            <v>261-MADAGASCAR</v>
          </cell>
        </row>
        <row r="243">
          <cell r="F243" t="str">
            <v>265-MALAWI</v>
          </cell>
        </row>
        <row r="244">
          <cell r="F244" t="str">
            <v>60-MALAYSIA</v>
          </cell>
        </row>
        <row r="245">
          <cell r="F245" t="str">
            <v>960-MALDIVES</v>
          </cell>
        </row>
        <row r="246">
          <cell r="F246" t="str">
            <v>223-MALI</v>
          </cell>
        </row>
        <row r="247">
          <cell r="F247" t="str">
            <v>356-MALTA</v>
          </cell>
        </row>
        <row r="248">
          <cell r="F248" t="str">
            <v>692-MARSHALL ISLANDS</v>
          </cell>
        </row>
        <row r="249">
          <cell r="F249" t="str">
            <v>222-MAURITANIA</v>
          </cell>
        </row>
        <row r="250">
          <cell r="F250" t="str">
            <v>230-MAURITIUS</v>
          </cell>
        </row>
        <row r="251">
          <cell r="F251" t="str">
            <v>52-MEXICO</v>
          </cell>
        </row>
        <row r="252">
          <cell r="F252" t="str">
            <v>691-MICRONESIA, FEDERATED STATES OF...</v>
          </cell>
        </row>
        <row r="253">
          <cell r="F253" t="str">
            <v>377-MONACO</v>
          </cell>
        </row>
        <row r="254">
          <cell r="F254" t="str">
            <v>976-MONGOLIA</v>
          </cell>
        </row>
        <row r="255">
          <cell r="F255" t="str">
            <v>382-MONTENEGRO</v>
          </cell>
        </row>
        <row r="256">
          <cell r="F256" t="str">
            <v>212-MOROCCO</v>
          </cell>
        </row>
        <row r="257">
          <cell r="F257" t="str">
            <v>258-MOZAMBIQUE</v>
          </cell>
        </row>
        <row r="258">
          <cell r="F258" t="str">
            <v>95-MYANMAR</v>
          </cell>
        </row>
        <row r="259">
          <cell r="F259" t="str">
            <v>264-NAMIBIA</v>
          </cell>
        </row>
        <row r="260">
          <cell r="F260" t="str">
            <v>674-NAURU</v>
          </cell>
        </row>
        <row r="261">
          <cell r="F261" t="str">
            <v>977-NEPAL</v>
          </cell>
        </row>
        <row r="262">
          <cell r="F262" t="str">
            <v>31-NETHERLANDS</v>
          </cell>
        </row>
        <row r="263">
          <cell r="F263" t="str">
            <v>64-NEW ZEALAND</v>
          </cell>
        </row>
        <row r="264">
          <cell r="F264" t="str">
            <v>505-NICARAGUA</v>
          </cell>
        </row>
        <row r="265">
          <cell r="F265" t="str">
            <v>227-NIGER</v>
          </cell>
        </row>
        <row r="266">
          <cell r="F266" t="str">
            <v>234-NIGERIA</v>
          </cell>
        </row>
        <row r="267">
          <cell r="F267" t="str">
            <v>47-NORWAY</v>
          </cell>
        </row>
        <row r="268">
          <cell r="F268" t="str">
            <v>968-OMAN</v>
          </cell>
        </row>
        <row r="269">
          <cell r="F269" t="str">
            <v>92-PAKISTAN</v>
          </cell>
        </row>
        <row r="270">
          <cell r="F270" t="str">
            <v>680-PALAU</v>
          </cell>
        </row>
        <row r="271">
          <cell r="F271" t="str">
            <v>507-PANAMA</v>
          </cell>
        </row>
        <row r="272">
          <cell r="F272" t="str">
            <v>675-PAPUA NEW GUINEA</v>
          </cell>
        </row>
        <row r="273">
          <cell r="F273" t="str">
            <v>595-PARAGUAY</v>
          </cell>
        </row>
        <row r="274">
          <cell r="F274" t="str">
            <v>51-PERU</v>
          </cell>
        </row>
        <row r="275">
          <cell r="F275" t="str">
            <v>63-PHILIPPINES</v>
          </cell>
        </row>
        <row r="276">
          <cell r="F276" t="str">
            <v>48-POLAND</v>
          </cell>
        </row>
        <row r="277">
          <cell r="F277" t="str">
            <v>14-PORTUGAL</v>
          </cell>
        </row>
        <row r="278">
          <cell r="F278" t="str">
            <v>974-QATAR</v>
          </cell>
        </row>
        <row r="279">
          <cell r="F279" t="str">
            <v>82-REPUBLIC OF KOREA (SOUTH KOREA)</v>
          </cell>
        </row>
        <row r="280">
          <cell r="F280" t="str">
            <v>373-REPUBLIC OF MOLDOVA</v>
          </cell>
        </row>
        <row r="281">
          <cell r="F281" t="str">
            <v>40-ROMANIA</v>
          </cell>
        </row>
        <row r="282">
          <cell r="F282" t="str">
            <v>8-RUSSIAN FEDERATION</v>
          </cell>
        </row>
        <row r="283">
          <cell r="F283" t="str">
            <v>250-RWANDA</v>
          </cell>
        </row>
        <row r="284">
          <cell r="F284" t="str">
            <v>1869-SAINT KITTS AND NEVIS</v>
          </cell>
        </row>
        <row r="285">
          <cell r="F285" t="str">
            <v>1758-SAINT LUCIA</v>
          </cell>
        </row>
        <row r="286">
          <cell r="F286" t="str">
            <v>1784-SAINT VINCENT AND THE GRENADINES</v>
          </cell>
        </row>
        <row r="287">
          <cell r="F287" t="str">
            <v>685-SAMOA</v>
          </cell>
        </row>
        <row r="288">
          <cell r="F288" t="str">
            <v>378-SAN MARINO</v>
          </cell>
        </row>
        <row r="289">
          <cell r="F289" t="str">
            <v>239-SAO TOME AND PRINCIPE</v>
          </cell>
        </row>
        <row r="290">
          <cell r="F290" t="str">
            <v>966-SAUDI ARABIA</v>
          </cell>
        </row>
        <row r="291">
          <cell r="F291" t="str">
            <v>221-SENEGAL</v>
          </cell>
        </row>
        <row r="292">
          <cell r="F292" t="str">
            <v>381-SERBIA</v>
          </cell>
        </row>
        <row r="293">
          <cell r="F293" t="str">
            <v>248-SEYCHELLES</v>
          </cell>
        </row>
        <row r="294">
          <cell r="F294" t="str">
            <v>232-SIERRA LEONE</v>
          </cell>
        </row>
        <row r="295">
          <cell r="F295" t="str">
            <v>65-SINGAPORE</v>
          </cell>
        </row>
        <row r="296">
          <cell r="F296" t="str">
            <v>421-SLOVAKIA</v>
          </cell>
        </row>
        <row r="297">
          <cell r="F297" t="str">
            <v>386-SLOVENIA</v>
          </cell>
        </row>
        <row r="298">
          <cell r="F298" t="str">
            <v>677-SOLOMON ISLANDS</v>
          </cell>
        </row>
        <row r="299">
          <cell r="F299" t="str">
            <v>252-SOMALIA</v>
          </cell>
        </row>
        <row r="300">
          <cell r="F300" t="str">
            <v>28-SOUTH AFRICA</v>
          </cell>
        </row>
        <row r="301">
          <cell r="F301" t="str">
            <v>211-SOUTH SUDAN</v>
          </cell>
        </row>
        <row r="302">
          <cell r="F302" t="str">
            <v>35-SPAIN</v>
          </cell>
        </row>
        <row r="303">
          <cell r="F303" t="str">
            <v>94-SRI LANKA</v>
          </cell>
        </row>
        <row r="304">
          <cell r="F304" t="str">
            <v>249-SUDAN</v>
          </cell>
        </row>
        <row r="305">
          <cell r="F305" t="str">
            <v>597-SURINAME</v>
          </cell>
        </row>
        <row r="306">
          <cell r="F306" t="str">
            <v>268-SWAZILAND</v>
          </cell>
        </row>
        <row r="307">
          <cell r="F307" t="str">
            <v>46-SWEDEN</v>
          </cell>
        </row>
        <row r="308">
          <cell r="F308" t="str">
            <v>41-SWITZERLAND</v>
          </cell>
        </row>
        <row r="309">
          <cell r="F309" t="str">
            <v>963-SYRIAN ARAB REPUBLIC</v>
          </cell>
        </row>
        <row r="310">
          <cell r="F310" t="str">
            <v>992-TAJIKISTAN</v>
          </cell>
        </row>
        <row r="311">
          <cell r="F311" t="str">
            <v>66-THAILAND</v>
          </cell>
        </row>
        <row r="312">
          <cell r="F312" t="str">
            <v>670-TIMOR-LESTE</v>
          </cell>
        </row>
        <row r="313">
          <cell r="F313" t="str">
            <v>228-TOGO</v>
          </cell>
        </row>
        <row r="314">
          <cell r="F314" t="str">
            <v>676-TONGA</v>
          </cell>
        </row>
        <row r="315">
          <cell r="F315" t="str">
            <v>1868-TRINIDAD AND TOBAGO</v>
          </cell>
        </row>
        <row r="316">
          <cell r="F316" t="str">
            <v>216-TUNISIA</v>
          </cell>
        </row>
        <row r="317">
          <cell r="F317" t="str">
            <v>90-TURKEY</v>
          </cell>
        </row>
        <row r="318">
          <cell r="F318" t="str">
            <v>993-TURKMENISTAN</v>
          </cell>
        </row>
        <row r="319">
          <cell r="F319" t="str">
            <v>688-TUVALU</v>
          </cell>
        </row>
        <row r="320">
          <cell r="F320" t="str">
            <v>256-UGANDA</v>
          </cell>
        </row>
        <row r="321">
          <cell r="F321" t="str">
            <v>380-UKRAINE</v>
          </cell>
        </row>
        <row r="322">
          <cell r="F322" t="str">
            <v>971-UNITED ARAB EMIRATES</v>
          </cell>
        </row>
        <row r="323">
          <cell r="F323" t="str">
            <v>44-UNITED KINGDOM OF GREAT BRITAIN AND NORTHERN IRELAND</v>
          </cell>
        </row>
        <row r="324">
          <cell r="F324" t="str">
            <v>255-UNITED REPUBLIC OF TANZANIA</v>
          </cell>
        </row>
        <row r="325">
          <cell r="F325" t="str">
            <v>2-UNITED STATES OF AMERICA</v>
          </cell>
        </row>
        <row r="326">
          <cell r="F326" t="str">
            <v>598-URUGUAY</v>
          </cell>
        </row>
        <row r="327">
          <cell r="F327" t="str">
            <v>998-UZBEKISTAN</v>
          </cell>
        </row>
        <row r="328">
          <cell r="F328" t="str">
            <v>678-VANUATU</v>
          </cell>
        </row>
        <row r="329">
          <cell r="F329" t="str">
            <v>58-VENEZUELA, BOLIVARIAN REPUBLIC OF...</v>
          </cell>
        </row>
        <row r="330">
          <cell r="F330" t="str">
            <v>84-VIETNAM</v>
          </cell>
        </row>
        <row r="331">
          <cell r="F331" t="str">
            <v>967-YEMEN</v>
          </cell>
        </row>
        <row r="332">
          <cell r="F332" t="str">
            <v>260-ZAMBIA</v>
          </cell>
        </row>
        <row r="333">
          <cell r="F333" t="str">
            <v>263-ZIMBABWE</v>
          </cell>
        </row>
        <row r="334">
          <cell r="F334" t="str">
            <v>9999-OTHERS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BS_203"/>
      <sheetName val="TrialBal"/>
      <sheetName val="TB- 11 months"/>
      <sheetName val="Net All"/>
      <sheetName val="Rates"/>
      <sheetName val="Invoice"/>
      <sheetName val="Revenue"/>
      <sheetName val="Comp"/>
      <sheetName val="Consolidation _Rs"/>
      <sheetName val="SCH-E,F,G,H,I"/>
      <sheetName val="Sheet2"/>
      <sheetName val="Exhibit C M+A comps"/>
      <sheetName val="SEGMENT EFFECTS"/>
      <sheetName val="inter co"/>
      <sheetName val="TB March 2002"/>
      <sheetName val="Quote Sheet"/>
      <sheetName val="Trial Balance"/>
      <sheetName val="BS"/>
      <sheetName val="PROFIT&amp;LOSS"/>
      <sheetName val="depreciation"/>
      <sheetName val="DEP WORKING"/>
      <sheetName val="Ann I"/>
      <sheetName val="Bank control chart"/>
      <sheetName val="Page1"/>
      <sheetName val="BRS"/>
      <sheetName val="1. Prepaid Expenses"/>
      <sheetName val="Transaction comps"/>
      <sheetName val="Excess Calc"/>
      <sheetName val="Rate analysis"/>
      <sheetName val="Data Input"/>
      <sheetName val="STD2001"/>
      <sheetName val="TB Bgl"/>
      <sheetName val="TB Goa"/>
      <sheetName val="Financial Output"/>
      <sheetName val="Part A General"/>
      <sheetName val="Balance sheet"/>
      <sheetName val="H RAYAPPA"/>
      <sheetName val="slab01"/>
      <sheetName val="CRITERIA1"/>
      <sheetName val="SCM "/>
      <sheetName val="MIS - August 2002"/>
      <sheetName val="Subschedule "/>
      <sheetName val="GK TB 310302 for OpBal Compare"/>
      <sheetName val="Sample-OSL"/>
      <sheetName val="SCM"/>
      <sheetName val="RBT Service Working_Dec 08"/>
      <sheetName val="Israel 99 ver1"/>
      <sheetName val="ASLBSSch"/>
      <sheetName val="depn testing"/>
      <sheetName val="Lists"/>
      <sheetName val="co lease rental"/>
      <sheetName val="FX_Report"/>
      <sheetName val="Directors"/>
      <sheetName val="BS Schdl- 1 &amp; 2"/>
      <sheetName val="Gratutity - Ask &amp; delet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7" xr16:uid="{0E64EB2F-EF28-4DCF-A8CF-991489696998}" autoFormatId="16" applyNumberFormats="0" applyBorderFormats="0" applyFontFormats="1" applyPatternFormats="1" applyAlignmentFormats="0" applyWidthHeightFormats="0">
  <queryTableRefresh preserveSortFilterLayout="0" headersInLastRefresh="0" nextId="11" unboundColumnsRight="3">
    <queryTableFields count="6">
      <queryTableField id="1" name="Description_" tableColumnId="17"/>
      <queryTableField id="2" name="Account Number" tableColumnId="18"/>
      <queryTableField id="3" name="Ending Balance" tableColumnId="19"/>
      <queryTableField id="8" dataBound="0" tableColumnId="22"/>
      <queryTableField id="7" dataBound="0" tableColumnId="23"/>
      <queryTableField id="6" dataBound="0" tableColumnId="24"/>
    </queryTableFields>
    <queryTableDeletedFields count="2">
      <deletedField name="Adjustments"/>
      <deletedField name="Total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102415-11EA-44D1-BB39-57371265F3EB}" name="CoA" displayName="CoA" ref="B8:P98" totalsRowShown="0" headerRowDxfId="321" headerRowBorderDxfId="320" tableBorderDxfId="319" totalsRowBorderDxfId="318">
  <autoFilter ref="B8:P98" xr:uid="{00000000-0009-0000-0100-00000C000000}"/>
  <tableColumns count="15">
    <tableColumn id="1" xr3:uid="{37B20A7F-BC13-49A4-93F5-14E198147539}" name="Account Number" dataDxfId="317"/>
    <tableColumn id="2" xr3:uid="{91C4796C-0CD3-4B29-A292-710FCDE5FD3D}" name="Schedule" dataDxfId="316"/>
    <tableColumn id="3" xr3:uid="{7141FE94-2A42-483C-BD8D-A773F4547090}" name="Category" dataDxfId="315"/>
    <tableColumn id="4" xr3:uid="{FA81CFA0-B29E-40F9-B3C1-01C8AE929741}" name="RSM Account Description" dataDxfId="314"/>
    <tableColumn id="5" xr3:uid="{D4C5DA92-8932-4631-80BA-D90C74F89C5D}" name="Client's TB Corresponding Account number" dataDxfId="313"/>
    <tableColumn id="6" xr3:uid="{250BEDC5-624C-4444-ACE1-5F4947CEBC89}" name="Current year" dataDxfId="312" dataCellStyle="Currency"/>
    <tableColumn id="8" xr3:uid="{9B4620EF-A36A-45E8-89EE-A7DD9A509182}" name="Manual Adjustment_x000a_Current  year" dataDxfId="311" dataCellStyle="Currency"/>
    <tableColumn id="7" xr3:uid="{B403CA13-A12F-41EA-BF3F-1949D81BF272}" name="Prior year" dataDxfId="310" dataCellStyle="Currency"/>
    <tableColumn id="9" xr3:uid="{A4812467-96EA-42DD-9E95-1A18D6642D32}" name="Manual Adjustment_x000a_Prior year" dataDxfId="309" dataCellStyle="Currency"/>
    <tableColumn id="15" xr3:uid="{4373DECB-B31E-4D15-9A15-5BC70A7B5CF6}" name="Column" dataDxfId="308" dataCellStyle="Currency"/>
    <tableColumn id="10" xr3:uid="{AFACB095-67CE-4C8E-8F43-2B73D93555BC}" name="Account Number2" dataDxfId="307"/>
    <tableColumn id="11" xr3:uid="{4B0D29FD-D039-4913-A425-3C16966AFA89}" name="Account Description3" dataDxfId="306"/>
    <tableColumn id="12" xr3:uid="{7ADA738D-F191-4359-B17C-CDED14A42161}" name="Current year account ending balance " dataDxfId="305"/>
    <tableColumn id="13" xr3:uid="{912E6383-B9B0-44BC-A264-1D05798C3DCB}" name="Prior year account ending balance " dataDxfId="304"/>
    <tableColumn id="14" xr3:uid="{DC1B4A8B-A31B-4DF3-BCF9-3136A40CB47E}" name="Column5" dataDxfId="30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6A63ED-E61C-4D7A-80A9-FF0B1D346153}" name="CTE" displayName="CTE" ref="A9:F83" tableType="queryTable" headerRowCount="0" totalsRowShown="0" headerRowDxfId="302" dataDxfId="301">
  <tableColumns count="6">
    <tableColumn id="17" xr3:uid="{6FD720CD-26E6-40BA-9033-0E0B6C5A24B4}" uniqueName="17" name="Description_" queryTableFieldId="1" dataDxfId="300"/>
    <tableColumn id="18" xr3:uid="{D8FD0BC9-15AD-4BC9-8A72-DAE9C6044801}" uniqueName="18" name="Account Number" queryTableFieldId="2" dataDxfId="299"/>
    <tableColumn id="19" xr3:uid="{4476D6A0-84B5-4ACF-85A9-6766A8273CBF}" uniqueName="19" name="Ending Balance" queryTableFieldId="3" dataDxfId="298"/>
    <tableColumn id="22" xr3:uid="{CB4FDAE2-60DF-43DD-94F2-D48B36354E48}" uniqueName="22" name="Column1" queryTableFieldId="8" dataDxfId="297"/>
    <tableColumn id="23" xr3:uid="{26B75551-3736-48A3-9A1E-27394D52DF53}" uniqueName="23" name="Column2" queryTableFieldId="7" dataDxfId="296"/>
    <tableColumn id="24" xr3:uid="{A2E4F8A9-3BA4-4839-B1A7-C8941F2F0EBF}" uniqueName="24" name="Column3" queryTableFieldId="6" dataDxfId="29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3F94-F76D-4BFC-A3F5-CB8CB2238B3C}">
  <sheetPr codeName="Sheet2"/>
  <dimension ref="A1:P102"/>
  <sheetViews>
    <sheetView showGridLines="0" tabSelected="1" zoomScale="77" workbookViewId="0">
      <pane ySplit="8" topLeftCell="A60" activePane="bottomLeft" state="frozen"/>
      <selection pane="bottomLeft" activeCell="M5" sqref="M5"/>
    </sheetView>
  </sheetViews>
  <sheetFormatPr defaultRowHeight="14.4" x14ac:dyDescent="0.3"/>
  <cols>
    <col min="2" max="2" width="19.88671875" bestFit="1" customWidth="1"/>
    <col min="3" max="3" width="20.6640625" bestFit="1" customWidth="1"/>
    <col min="4" max="4" width="22.109375" bestFit="1" customWidth="1"/>
    <col min="5" max="5" width="58.5546875" bestFit="1" customWidth="1"/>
    <col min="6" max="6" width="18.88671875" customWidth="1"/>
    <col min="7" max="9" width="11.88671875" customWidth="1"/>
    <col min="10" max="10" width="15.5546875" bestFit="1" customWidth="1"/>
    <col min="11" max="11" width="13" bestFit="1" customWidth="1"/>
    <col min="12" max="12" width="19.5546875" bestFit="1" customWidth="1"/>
    <col min="13" max="13" width="73.5546875" bestFit="1" customWidth="1"/>
    <col min="14" max="14" width="16.88671875" bestFit="1" customWidth="1"/>
    <col min="15" max="15" width="12.21875" bestFit="1" customWidth="1"/>
  </cols>
  <sheetData>
    <row r="1" spans="1:16" ht="18" x14ac:dyDescent="0.35">
      <c r="A1" s="133" t="s">
        <v>0</v>
      </c>
      <c r="B1" s="133"/>
      <c r="C1" s="133"/>
      <c r="D1" s="133"/>
      <c r="E1" s="133"/>
      <c r="F1" s="2"/>
      <c r="G1" s="2"/>
      <c r="H1" s="2"/>
      <c r="I1" s="2"/>
    </row>
    <row r="2" spans="1:16" ht="18" x14ac:dyDescent="0.35">
      <c r="A2" s="2"/>
      <c r="B2" s="2"/>
      <c r="C2" s="2"/>
      <c r="D2" s="2"/>
      <c r="E2" s="2"/>
      <c r="F2" s="2"/>
      <c r="G2" s="2"/>
      <c r="H2" s="2"/>
      <c r="I2" s="2"/>
    </row>
    <row r="3" spans="1:16" ht="18" x14ac:dyDescent="0.35">
      <c r="A3" s="2"/>
      <c r="B3" s="2"/>
      <c r="C3" s="2"/>
      <c r="D3" s="2"/>
      <c r="E3" s="2"/>
      <c r="F3" s="2"/>
      <c r="G3" s="2"/>
      <c r="H3" s="2"/>
      <c r="I3" s="2"/>
    </row>
    <row r="6" spans="1:16" x14ac:dyDescent="0.3">
      <c r="N6" s="10"/>
      <c r="O6" s="10"/>
    </row>
    <row r="7" spans="1:16" ht="15" thickBot="1" x14ac:dyDescent="0.35">
      <c r="N7" s="10"/>
      <c r="O7" s="10"/>
    </row>
    <row r="8" spans="1:16" ht="58.2" thickBot="1" x14ac:dyDescent="0.35">
      <c r="B8" s="13" t="s">
        <v>1</v>
      </c>
      <c r="C8" s="14" t="s">
        <v>2</v>
      </c>
      <c r="D8" s="14" t="s">
        <v>3</v>
      </c>
      <c r="E8" s="14" t="s">
        <v>351</v>
      </c>
      <c r="F8" s="9" t="s">
        <v>110</v>
      </c>
      <c r="G8" s="12" t="s">
        <v>201</v>
      </c>
      <c r="H8" s="12" t="s">
        <v>203</v>
      </c>
      <c r="I8" s="12" t="s">
        <v>202</v>
      </c>
      <c r="J8" s="28" t="s">
        <v>204</v>
      </c>
      <c r="K8" s="15" t="s">
        <v>210</v>
      </c>
      <c r="L8" s="16" t="s">
        <v>208</v>
      </c>
      <c r="M8" s="16" t="s">
        <v>209</v>
      </c>
      <c r="N8" s="17" t="s">
        <v>206</v>
      </c>
      <c r="O8" s="17" t="s">
        <v>207</v>
      </c>
      <c r="P8" s="30" t="s">
        <v>205</v>
      </c>
    </row>
    <row r="9" spans="1:16" ht="14.4" customHeight="1" x14ac:dyDescent="0.3">
      <c r="B9" s="24">
        <v>10001</v>
      </c>
      <c r="C9" s="8" t="s">
        <v>4</v>
      </c>
      <c r="D9" s="8" t="s">
        <v>5</v>
      </c>
      <c r="E9" s="8" t="s">
        <v>6</v>
      </c>
      <c r="F9" s="11" t="s">
        <v>111</v>
      </c>
      <c r="G9" s="22">
        <v>10000</v>
      </c>
      <c r="H9" s="33">
        <v>0</v>
      </c>
      <c r="I9" s="22">
        <v>14000</v>
      </c>
      <c r="J9" s="33">
        <v>0</v>
      </c>
      <c r="K9" s="31"/>
      <c r="L9" s="3" t="s">
        <v>111</v>
      </c>
      <c r="M9" s="3" t="s">
        <v>211</v>
      </c>
      <c r="N9" s="32">
        <v>10000</v>
      </c>
      <c r="O9" s="32">
        <v>14000</v>
      </c>
      <c r="P9" s="32"/>
    </row>
    <row r="10" spans="1:16" x14ac:dyDescent="0.3">
      <c r="B10" s="25">
        <v>10002</v>
      </c>
      <c r="C10" s="3" t="s">
        <v>4</v>
      </c>
      <c r="D10" s="3" t="s">
        <v>5</v>
      </c>
      <c r="E10" s="3" t="s">
        <v>7</v>
      </c>
      <c r="F10" s="11" t="s">
        <v>112</v>
      </c>
      <c r="G10" s="22">
        <v>4666.666666666667</v>
      </c>
      <c r="H10" s="33">
        <v>0</v>
      </c>
      <c r="I10" s="22">
        <v>6533.333333333333</v>
      </c>
      <c r="J10" s="33">
        <v>0</v>
      </c>
      <c r="K10" s="31"/>
      <c r="L10" s="3" t="s">
        <v>112</v>
      </c>
      <c r="M10" s="3" t="s">
        <v>212</v>
      </c>
      <c r="N10" s="32">
        <v>4666.666666666667</v>
      </c>
      <c r="O10" s="32">
        <v>6533.333333333333</v>
      </c>
      <c r="P10" s="32"/>
    </row>
    <row r="11" spans="1:16" x14ac:dyDescent="0.3">
      <c r="B11" s="26">
        <v>10999</v>
      </c>
      <c r="C11" s="4" t="s">
        <v>4</v>
      </c>
      <c r="D11" s="4" t="s">
        <v>5</v>
      </c>
      <c r="E11" s="4" t="s">
        <v>8</v>
      </c>
      <c r="F11" s="11" t="s">
        <v>113</v>
      </c>
      <c r="G11" s="22">
        <v>2177.7777777777778</v>
      </c>
      <c r="H11" s="33">
        <v>0</v>
      </c>
      <c r="I11" s="22">
        <v>3048.8888888888887</v>
      </c>
      <c r="J11" s="33">
        <v>0</v>
      </c>
      <c r="K11" s="31"/>
      <c r="L11" s="3" t="s">
        <v>113</v>
      </c>
      <c r="M11" s="3" t="s">
        <v>213</v>
      </c>
      <c r="N11" s="32">
        <v>2177.7777777777778</v>
      </c>
      <c r="O11" s="32">
        <v>3048.8888888888887</v>
      </c>
      <c r="P11" s="32"/>
    </row>
    <row r="12" spans="1:16" x14ac:dyDescent="0.3">
      <c r="B12" s="25">
        <v>11001</v>
      </c>
      <c r="C12" s="3" t="s">
        <v>4</v>
      </c>
      <c r="D12" s="3" t="s">
        <v>9</v>
      </c>
      <c r="E12" s="3" t="s">
        <v>10</v>
      </c>
      <c r="F12" s="11" t="s">
        <v>114</v>
      </c>
      <c r="G12" s="22">
        <v>1016.2962962962962</v>
      </c>
      <c r="H12" s="33">
        <v>0</v>
      </c>
      <c r="I12" s="22">
        <v>1422.8148148148146</v>
      </c>
      <c r="J12" s="33">
        <v>0</v>
      </c>
      <c r="K12" s="31"/>
      <c r="L12" s="3" t="s">
        <v>114</v>
      </c>
      <c r="M12" s="3" t="s">
        <v>214</v>
      </c>
      <c r="N12" s="32">
        <v>1016.2962962962962</v>
      </c>
      <c r="O12" s="32">
        <v>1422.8148148148146</v>
      </c>
      <c r="P12" s="32"/>
    </row>
    <row r="13" spans="1:16" x14ac:dyDescent="0.3">
      <c r="B13" s="25">
        <v>11002</v>
      </c>
      <c r="C13" s="3" t="s">
        <v>4</v>
      </c>
      <c r="D13" s="3" t="s">
        <v>9</v>
      </c>
      <c r="E13" s="3" t="s">
        <v>11</v>
      </c>
      <c r="F13" s="11" t="s">
        <v>115</v>
      </c>
      <c r="G13" s="22">
        <v>474.27160493827154</v>
      </c>
      <c r="H13" s="33">
        <v>0</v>
      </c>
      <c r="I13" s="22">
        <v>663.98024691358012</v>
      </c>
      <c r="J13" s="33">
        <v>0</v>
      </c>
      <c r="K13" s="31"/>
      <c r="L13" s="3" t="s">
        <v>115</v>
      </c>
      <c r="M13" s="3" t="s">
        <v>215</v>
      </c>
      <c r="N13" s="32">
        <v>474.27160493827154</v>
      </c>
      <c r="O13" s="32">
        <v>663.98024691358012</v>
      </c>
      <c r="P13" s="32"/>
    </row>
    <row r="14" spans="1:16" x14ac:dyDescent="0.3">
      <c r="B14" s="25">
        <v>11003</v>
      </c>
      <c r="C14" s="3" t="s">
        <v>4</v>
      </c>
      <c r="D14" s="3" t="s">
        <v>9</v>
      </c>
      <c r="E14" s="3" t="s">
        <v>12</v>
      </c>
      <c r="F14" s="11" t="s">
        <v>116</v>
      </c>
      <c r="G14" s="22">
        <v>221.32674897119338</v>
      </c>
      <c r="H14" s="33">
        <v>0</v>
      </c>
      <c r="I14" s="22">
        <v>309.85744855967073</v>
      </c>
      <c r="J14" s="33">
        <v>0</v>
      </c>
      <c r="K14" s="31"/>
      <c r="L14" s="3" t="s">
        <v>116</v>
      </c>
      <c r="M14" s="3" t="s">
        <v>216</v>
      </c>
      <c r="N14" s="32">
        <v>221.32674897119338</v>
      </c>
      <c r="O14" s="32">
        <v>309.85744855967073</v>
      </c>
      <c r="P14" s="32"/>
    </row>
    <row r="15" spans="1:16" x14ac:dyDescent="0.3">
      <c r="B15" s="25">
        <v>11004</v>
      </c>
      <c r="C15" s="3" t="s">
        <v>4</v>
      </c>
      <c r="D15" s="3" t="s">
        <v>9</v>
      </c>
      <c r="E15" s="3" t="s">
        <v>13</v>
      </c>
      <c r="F15" s="11" t="s">
        <v>117</v>
      </c>
      <c r="G15" s="22">
        <v>10000</v>
      </c>
      <c r="H15" s="33">
        <v>0</v>
      </c>
      <c r="I15" s="22">
        <v>14000</v>
      </c>
      <c r="J15" s="33">
        <v>0</v>
      </c>
      <c r="K15" s="31"/>
      <c r="L15" s="3" t="s">
        <v>117</v>
      </c>
      <c r="M15" s="3" t="s">
        <v>217</v>
      </c>
      <c r="N15" s="32">
        <v>10000</v>
      </c>
      <c r="O15" s="32">
        <v>14000</v>
      </c>
      <c r="P15" s="32"/>
    </row>
    <row r="16" spans="1:16" x14ac:dyDescent="0.3">
      <c r="B16" s="25">
        <v>11005</v>
      </c>
      <c r="C16" s="3" t="s">
        <v>4</v>
      </c>
      <c r="D16" s="3" t="s">
        <v>9</v>
      </c>
      <c r="E16" s="3" t="s">
        <v>14</v>
      </c>
      <c r="F16" s="11" t="s">
        <v>118</v>
      </c>
      <c r="G16" s="22">
        <v>4666.666666666667</v>
      </c>
      <c r="H16" s="33">
        <v>0</v>
      </c>
      <c r="I16" s="22">
        <v>6533.333333333333</v>
      </c>
      <c r="J16" s="33">
        <v>0</v>
      </c>
      <c r="K16" s="31"/>
      <c r="L16" s="3" t="s">
        <v>118</v>
      </c>
      <c r="M16" s="3" t="s">
        <v>218</v>
      </c>
      <c r="N16" s="32">
        <v>4666.666666666667</v>
      </c>
      <c r="O16" s="32">
        <v>6533.333333333333</v>
      </c>
      <c r="P16" s="32"/>
    </row>
    <row r="17" spans="2:16" x14ac:dyDescent="0.3">
      <c r="B17" s="25">
        <v>11006</v>
      </c>
      <c r="C17" s="3" t="s">
        <v>4</v>
      </c>
      <c r="D17" s="3" t="s">
        <v>9</v>
      </c>
      <c r="E17" s="3" t="s">
        <v>15</v>
      </c>
      <c r="F17" s="11" t="s">
        <v>119</v>
      </c>
      <c r="G17" s="22">
        <v>2177.7777777777778</v>
      </c>
      <c r="H17" s="33">
        <v>0</v>
      </c>
      <c r="I17" s="22">
        <v>3048.8888888888887</v>
      </c>
      <c r="J17" s="33">
        <v>0</v>
      </c>
      <c r="K17" s="31"/>
      <c r="L17" s="3" t="s">
        <v>119</v>
      </c>
      <c r="M17" s="3" t="s">
        <v>219</v>
      </c>
      <c r="N17" s="32">
        <v>2177.7777777777778</v>
      </c>
      <c r="O17" s="32">
        <v>3048.8888888888887</v>
      </c>
      <c r="P17" s="32"/>
    </row>
    <row r="18" spans="2:16" x14ac:dyDescent="0.3">
      <c r="B18" s="25">
        <v>11007</v>
      </c>
      <c r="C18" s="3" t="s">
        <v>4</v>
      </c>
      <c r="D18" s="3" t="s">
        <v>9</v>
      </c>
      <c r="E18" s="3" t="s">
        <v>16</v>
      </c>
      <c r="F18" s="11" t="s">
        <v>120</v>
      </c>
      <c r="G18" s="22">
        <v>1016.2962962962962</v>
      </c>
      <c r="H18" s="33">
        <v>0</v>
      </c>
      <c r="I18" s="22">
        <v>1422.8148148148146</v>
      </c>
      <c r="J18" s="33">
        <v>0</v>
      </c>
      <c r="K18" s="31"/>
      <c r="L18" s="3" t="s">
        <v>120</v>
      </c>
      <c r="M18" s="3" t="s">
        <v>220</v>
      </c>
      <c r="N18" s="32">
        <v>1016.2962962962962</v>
      </c>
      <c r="O18" s="32">
        <v>1422.8148148148146</v>
      </c>
      <c r="P18" s="32"/>
    </row>
    <row r="19" spans="2:16" x14ac:dyDescent="0.3">
      <c r="B19" s="25">
        <v>11008</v>
      </c>
      <c r="C19" s="3" t="s">
        <v>4</v>
      </c>
      <c r="D19" s="3" t="s">
        <v>9</v>
      </c>
      <c r="E19" s="3" t="s">
        <v>17</v>
      </c>
      <c r="F19" s="11" t="s">
        <v>121</v>
      </c>
      <c r="G19" s="22">
        <v>474.27160493827154</v>
      </c>
      <c r="H19" s="33">
        <v>0</v>
      </c>
      <c r="I19" s="22">
        <v>663.98024691358012</v>
      </c>
      <c r="J19" s="33">
        <v>0</v>
      </c>
      <c r="K19" s="31"/>
      <c r="L19" s="3" t="s">
        <v>121</v>
      </c>
      <c r="M19" s="3" t="s">
        <v>221</v>
      </c>
      <c r="N19" s="32">
        <v>474.27160493827154</v>
      </c>
      <c r="O19" s="32">
        <v>663.98024691358012</v>
      </c>
      <c r="P19" s="32"/>
    </row>
    <row r="20" spans="2:16" x14ac:dyDescent="0.3">
      <c r="B20" s="25">
        <v>11009</v>
      </c>
      <c r="C20" s="3" t="s">
        <v>4</v>
      </c>
      <c r="D20" s="3" t="s">
        <v>9</v>
      </c>
      <c r="E20" s="3" t="s">
        <v>18</v>
      </c>
      <c r="F20" s="11" t="s">
        <v>122</v>
      </c>
      <c r="G20" s="22">
        <v>221.32674897119338</v>
      </c>
      <c r="H20" s="33">
        <v>0</v>
      </c>
      <c r="I20" s="22">
        <v>309.85744855967073</v>
      </c>
      <c r="J20" s="33">
        <v>0</v>
      </c>
      <c r="K20" s="31"/>
      <c r="L20" s="3" t="s">
        <v>122</v>
      </c>
      <c r="M20" s="3" t="s">
        <v>222</v>
      </c>
      <c r="N20" s="32">
        <v>221.32674897119338</v>
      </c>
      <c r="O20" s="32">
        <v>309.85744855967073</v>
      </c>
      <c r="P20" s="32"/>
    </row>
    <row r="21" spans="2:16" x14ac:dyDescent="0.3">
      <c r="B21" s="25">
        <v>11010</v>
      </c>
      <c r="C21" s="3" t="s">
        <v>4</v>
      </c>
      <c r="D21" s="3" t="s">
        <v>9</v>
      </c>
      <c r="E21" s="3" t="s">
        <v>19</v>
      </c>
      <c r="F21" s="11" t="s">
        <v>123</v>
      </c>
      <c r="G21" s="22">
        <v>10000</v>
      </c>
      <c r="H21" s="33">
        <v>0</v>
      </c>
      <c r="I21" s="22">
        <v>14000</v>
      </c>
      <c r="J21" s="33">
        <v>0</v>
      </c>
      <c r="K21" s="31"/>
      <c r="L21" s="3" t="s">
        <v>123</v>
      </c>
      <c r="M21" s="3" t="s">
        <v>223</v>
      </c>
      <c r="N21" s="32">
        <v>10000</v>
      </c>
      <c r="O21" s="32">
        <v>14000</v>
      </c>
      <c r="P21" s="32"/>
    </row>
    <row r="22" spans="2:16" x14ac:dyDescent="0.3">
      <c r="B22" s="26">
        <v>11999</v>
      </c>
      <c r="C22" s="4" t="s">
        <v>4</v>
      </c>
      <c r="D22" s="4" t="s">
        <v>9</v>
      </c>
      <c r="E22" s="4" t="s">
        <v>20</v>
      </c>
      <c r="F22" s="11" t="s">
        <v>124</v>
      </c>
      <c r="G22" s="22">
        <v>4666.666666666667</v>
      </c>
      <c r="H22" s="33">
        <v>0</v>
      </c>
      <c r="I22" s="22">
        <v>6533.333333333333</v>
      </c>
      <c r="J22" s="33">
        <v>0</v>
      </c>
      <c r="K22" s="31"/>
      <c r="L22" s="3" t="s">
        <v>124</v>
      </c>
      <c r="M22" s="3" t="s">
        <v>224</v>
      </c>
      <c r="N22" s="32">
        <v>4666.666666666667</v>
      </c>
      <c r="O22" s="32">
        <v>6533.333333333333</v>
      </c>
      <c r="P22" s="32"/>
    </row>
    <row r="23" spans="2:16" x14ac:dyDescent="0.3">
      <c r="B23" s="25">
        <v>12001</v>
      </c>
      <c r="C23" s="3" t="s">
        <v>4</v>
      </c>
      <c r="D23" s="3" t="s">
        <v>21</v>
      </c>
      <c r="E23" s="3" t="s">
        <v>22</v>
      </c>
      <c r="F23" s="11" t="s">
        <v>125</v>
      </c>
      <c r="G23" s="22">
        <v>2177.7777777777778</v>
      </c>
      <c r="H23" s="33">
        <v>0</v>
      </c>
      <c r="I23" s="22">
        <v>3048.8888888888887</v>
      </c>
      <c r="J23" s="33">
        <v>0</v>
      </c>
      <c r="K23" s="31"/>
      <c r="L23" s="3" t="s">
        <v>125</v>
      </c>
      <c r="M23" s="3" t="s">
        <v>225</v>
      </c>
      <c r="N23" s="32">
        <v>2177.7777777777778</v>
      </c>
      <c r="O23" s="32">
        <v>3048.8888888888887</v>
      </c>
      <c r="P23" s="32"/>
    </row>
    <row r="24" spans="2:16" x14ac:dyDescent="0.3">
      <c r="B24" s="25">
        <v>12002</v>
      </c>
      <c r="C24" s="3" t="s">
        <v>4</v>
      </c>
      <c r="D24" s="3" t="s">
        <v>21</v>
      </c>
      <c r="E24" s="3" t="s">
        <v>23</v>
      </c>
      <c r="F24" s="11" t="s">
        <v>126</v>
      </c>
      <c r="G24" s="22">
        <v>1016.2962962962962</v>
      </c>
      <c r="H24" s="33">
        <v>0</v>
      </c>
      <c r="I24" s="22">
        <v>1422.8148148148146</v>
      </c>
      <c r="J24" s="33">
        <v>0</v>
      </c>
      <c r="K24" s="31"/>
      <c r="L24" s="3" t="s">
        <v>126</v>
      </c>
      <c r="M24" s="3" t="s">
        <v>226</v>
      </c>
      <c r="N24" s="32">
        <v>1016.2962962962962</v>
      </c>
      <c r="O24" s="32">
        <v>1422.8148148148146</v>
      </c>
      <c r="P24" s="32"/>
    </row>
    <row r="25" spans="2:16" x14ac:dyDescent="0.3">
      <c r="B25" s="25">
        <v>12003</v>
      </c>
      <c r="C25" s="3" t="s">
        <v>4</v>
      </c>
      <c r="D25" s="3" t="s">
        <v>21</v>
      </c>
      <c r="E25" s="3" t="s">
        <v>24</v>
      </c>
      <c r="F25" s="11" t="s">
        <v>127</v>
      </c>
      <c r="G25" s="22">
        <v>474.27160493827154</v>
      </c>
      <c r="H25" s="33">
        <v>0</v>
      </c>
      <c r="I25" s="22">
        <v>663.98024691358012</v>
      </c>
      <c r="J25" s="33">
        <v>0</v>
      </c>
      <c r="K25" s="31"/>
      <c r="L25" s="3" t="s">
        <v>127</v>
      </c>
      <c r="M25" s="3" t="s">
        <v>227</v>
      </c>
      <c r="N25" s="32">
        <v>474.27160493827154</v>
      </c>
      <c r="O25" s="32">
        <v>663.98024691358012</v>
      </c>
      <c r="P25" s="32"/>
    </row>
    <row r="26" spans="2:16" x14ac:dyDescent="0.3">
      <c r="B26" s="25">
        <v>12004</v>
      </c>
      <c r="C26" s="3" t="s">
        <v>4</v>
      </c>
      <c r="D26" s="3" t="s">
        <v>21</v>
      </c>
      <c r="E26" s="3" t="s">
        <v>25</v>
      </c>
      <c r="F26" s="11" t="s">
        <v>128</v>
      </c>
      <c r="G26" s="22">
        <v>221.32674897119338</v>
      </c>
      <c r="H26" s="33">
        <v>0</v>
      </c>
      <c r="I26" s="22">
        <v>309.85744855967073</v>
      </c>
      <c r="J26" s="33">
        <v>0</v>
      </c>
      <c r="K26" s="31"/>
      <c r="L26" s="3" t="s">
        <v>128</v>
      </c>
      <c r="M26" s="3" t="s">
        <v>228</v>
      </c>
      <c r="N26" s="32">
        <v>221.32674897119338</v>
      </c>
      <c r="O26" s="32">
        <v>309.85744855967073</v>
      </c>
      <c r="P26" s="32"/>
    </row>
    <row r="27" spans="2:16" x14ac:dyDescent="0.3">
      <c r="B27" s="25">
        <v>12005</v>
      </c>
      <c r="C27" s="3" t="s">
        <v>4</v>
      </c>
      <c r="D27" s="3" t="s">
        <v>21</v>
      </c>
      <c r="E27" s="3" t="s">
        <v>26</v>
      </c>
      <c r="F27" s="11" t="s">
        <v>129</v>
      </c>
      <c r="G27" s="22">
        <v>10000</v>
      </c>
      <c r="H27" s="33">
        <v>0</v>
      </c>
      <c r="I27" s="22">
        <v>14000</v>
      </c>
      <c r="J27" s="33">
        <v>0</v>
      </c>
      <c r="K27" s="31"/>
      <c r="L27" s="3" t="s">
        <v>129</v>
      </c>
      <c r="M27" s="3" t="s">
        <v>229</v>
      </c>
      <c r="N27" s="32">
        <v>10000</v>
      </c>
      <c r="O27" s="32">
        <v>14000</v>
      </c>
      <c r="P27" s="32"/>
    </row>
    <row r="28" spans="2:16" x14ac:dyDescent="0.3">
      <c r="B28" s="25">
        <v>12006</v>
      </c>
      <c r="C28" s="3" t="s">
        <v>4</v>
      </c>
      <c r="D28" s="3" t="s">
        <v>21</v>
      </c>
      <c r="E28" s="3" t="s">
        <v>27</v>
      </c>
      <c r="F28" s="11" t="s">
        <v>130</v>
      </c>
      <c r="G28" s="22">
        <v>4666.666666666667</v>
      </c>
      <c r="H28" s="33">
        <v>0</v>
      </c>
      <c r="I28" s="22">
        <v>6533.333333333333</v>
      </c>
      <c r="J28" s="33">
        <v>0</v>
      </c>
      <c r="K28" s="31"/>
      <c r="L28" s="3" t="s">
        <v>130</v>
      </c>
      <c r="M28" s="3" t="s">
        <v>230</v>
      </c>
      <c r="N28" s="32">
        <v>4666.666666666667</v>
      </c>
      <c r="O28" s="32">
        <v>6533.333333333333</v>
      </c>
      <c r="P28" s="32"/>
    </row>
    <row r="29" spans="2:16" x14ac:dyDescent="0.3">
      <c r="B29" s="25">
        <v>12007</v>
      </c>
      <c r="C29" s="3" t="s">
        <v>4</v>
      </c>
      <c r="D29" s="3" t="s">
        <v>21</v>
      </c>
      <c r="E29" s="3" t="s">
        <v>28</v>
      </c>
      <c r="F29" s="11" t="s">
        <v>131</v>
      </c>
      <c r="G29" s="22">
        <v>2177.7777777777778</v>
      </c>
      <c r="H29" s="33">
        <v>0</v>
      </c>
      <c r="I29" s="22">
        <v>3048.8888888888887</v>
      </c>
      <c r="J29" s="33">
        <v>0</v>
      </c>
      <c r="K29" s="31"/>
      <c r="L29" s="3" t="s">
        <v>131</v>
      </c>
      <c r="M29" s="3" t="s">
        <v>231</v>
      </c>
      <c r="N29" s="32">
        <v>2177.7777777777778</v>
      </c>
      <c r="O29" s="32">
        <v>3048.8888888888887</v>
      </c>
      <c r="P29" s="32"/>
    </row>
    <row r="30" spans="2:16" x14ac:dyDescent="0.3">
      <c r="B30" s="25">
        <v>12008</v>
      </c>
      <c r="C30" s="3" t="s">
        <v>4</v>
      </c>
      <c r="D30" s="3" t="s">
        <v>21</v>
      </c>
      <c r="E30" s="3" t="s">
        <v>29</v>
      </c>
      <c r="F30" s="11" t="s">
        <v>132</v>
      </c>
      <c r="G30" s="22">
        <v>1016.2962962962962</v>
      </c>
      <c r="H30" s="33">
        <v>0</v>
      </c>
      <c r="I30" s="22">
        <v>1422.8148148148146</v>
      </c>
      <c r="J30" s="33">
        <v>0</v>
      </c>
      <c r="K30" s="31"/>
      <c r="L30" s="3" t="s">
        <v>132</v>
      </c>
      <c r="M30" s="3" t="s">
        <v>232</v>
      </c>
      <c r="N30" s="32">
        <v>1016.2962962962962</v>
      </c>
      <c r="O30" s="32">
        <v>1422.8148148148146</v>
      </c>
      <c r="P30" s="32"/>
    </row>
    <row r="31" spans="2:16" x14ac:dyDescent="0.3">
      <c r="B31" s="25">
        <v>12009</v>
      </c>
      <c r="C31" s="3" t="s">
        <v>4</v>
      </c>
      <c r="D31" s="3" t="s">
        <v>21</v>
      </c>
      <c r="E31" s="3" t="s">
        <v>30</v>
      </c>
      <c r="F31" s="11" t="s">
        <v>133</v>
      </c>
      <c r="G31" s="22">
        <v>474.27160493827154</v>
      </c>
      <c r="H31" s="33">
        <v>0</v>
      </c>
      <c r="I31" s="22">
        <v>663.98024691358012</v>
      </c>
      <c r="J31" s="33">
        <v>0</v>
      </c>
      <c r="K31" s="31"/>
      <c r="L31" s="3" t="s">
        <v>133</v>
      </c>
      <c r="M31" s="3" t="s">
        <v>233</v>
      </c>
      <c r="N31" s="32">
        <v>474.27160493827154</v>
      </c>
      <c r="O31" s="32">
        <v>663.98024691358012</v>
      </c>
      <c r="P31" s="32"/>
    </row>
    <row r="32" spans="2:16" x14ac:dyDescent="0.3">
      <c r="B32" s="25">
        <v>12010</v>
      </c>
      <c r="C32" s="3" t="s">
        <v>4</v>
      </c>
      <c r="D32" s="3" t="s">
        <v>21</v>
      </c>
      <c r="E32" s="3" t="s">
        <v>31</v>
      </c>
      <c r="F32" s="11" t="s">
        <v>134</v>
      </c>
      <c r="G32" s="22">
        <v>221.32674897119338</v>
      </c>
      <c r="H32" s="33">
        <v>0</v>
      </c>
      <c r="I32" s="22">
        <v>309.85744855967073</v>
      </c>
      <c r="J32" s="33">
        <v>0</v>
      </c>
      <c r="K32" s="31"/>
      <c r="L32" s="3" t="s">
        <v>134</v>
      </c>
      <c r="M32" s="3" t="s">
        <v>234</v>
      </c>
      <c r="N32" s="32">
        <v>221.32674897119338</v>
      </c>
      <c r="O32" s="32">
        <v>309.85744855967073</v>
      </c>
      <c r="P32" s="32"/>
    </row>
    <row r="33" spans="2:16" x14ac:dyDescent="0.3">
      <c r="B33" s="25">
        <v>12011</v>
      </c>
      <c r="C33" s="3" t="s">
        <v>4</v>
      </c>
      <c r="D33" s="3" t="s">
        <v>21</v>
      </c>
      <c r="E33" s="3" t="s">
        <v>32</v>
      </c>
      <c r="F33" s="11" t="s">
        <v>135</v>
      </c>
      <c r="G33" s="22">
        <v>10000</v>
      </c>
      <c r="H33" s="33">
        <v>0</v>
      </c>
      <c r="I33" s="22">
        <v>14000</v>
      </c>
      <c r="J33" s="33">
        <v>0</v>
      </c>
      <c r="K33" s="31"/>
      <c r="L33" s="3" t="s">
        <v>135</v>
      </c>
      <c r="M33" s="3" t="s">
        <v>235</v>
      </c>
      <c r="N33" s="32">
        <v>10000</v>
      </c>
      <c r="O33" s="32">
        <v>14000</v>
      </c>
      <c r="P33" s="32"/>
    </row>
    <row r="34" spans="2:16" x14ac:dyDescent="0.3">
      <c r="B34" s="25">
        <v>12012</v>
      </c>
      <c r="C34" s="3" t="s">
        <v>4</v>
      </c>
      <c r="D34" s="3" t="s">
        <v>21</v>
      </c>
      <c r="E34" s="3" t="s">
        <v>33</v>
      </c>
      <c r="F34" s="11" t="s">
        <v>136</v>
      </c>
      <c r="G34" s="22">
        <v>4666.666666666667</v>
      </c>
      <c r="H34" s="33">
        <v>0</v>
      </c>
      <c r="I34" s="22">
        <v>6533.333333333333</v>
      </c>
      <c r="J34" s="33">
        <v>0</v>
      </c>
      <c r="K34" s="31"/>
      <c r="L34" s="3" t="s">
        <v>136</v>
      </c>
      <c r="M34" s="3" t="s">
        <v>236</v>
      </c>
      <c r="N34" s="32">
        <v>4666.666666666667</v>
      </c>
      <c r="O34" s="32">
        <v>6533.333333333333</v>
      </c>
      <c r="P34" s="32"/>
    </row>
    <row r="35" spans="2:16" x14ac:dyDescent="0.3">
      <c r="B35" s="25">
        <v>12013</v>
      </c>
      <c r="C35" s="3" t="s">
        <v>4</v>
      </c>
      <c r="D35" s="3" t="s">
        <v>21</v>
      </c>
      <c r="E35" s="3" t="s">
        <v>34</v>
      </c>
      <c r="F35" s="11" t="s">
        <v>137</v>
      </c>
      <c r="G35" s="22">
        <v>2177.7777777777778</v>
      </c>
      <c r="H35" s="33">
        <v>0</v>
      </c>
      <c r="I35" s="22">
        <v>3048.8888888888887</v>
      </c>
      <c r="J35" s="33">
        <v>0</v>
      </c>
      <c r="K35" s="31"/>
      <c r="L35" s="3" t="s">
        <v>137</v>
      </c>
      <c r="M35" s="3" t="s">
        <v>237</v>
      </c>
      <c r="N35" s="32">
        <v>2177.7777777777778</v>
      </c>
      <c r="O35" s="32">
        <v>3048.8888888888887</v>
      </c>
      <c r="P35" s="32"/>
    </row>
    <row r="36" spans="2:16" x14ac:dyDescent="0.3">
      <c r="B36" s="25">
        <v>12014</v>
      </c>
      <c r="C36" s="3" t="s">
        <v>4</v>
      </c>
      <c r="D36" s="3" t="s">
        <v>21</v>
      </c>
      <c r="E36" s="3" t="s">
        <v>35</v>
      </c>
      <c r="F36" s="11" t="s">
        <v>138</v>
      </c>
      <c r="G36" s="22">
        <v>1016.2962962962962</v>
      </c>
      <c r="H36" s="33">
        <v>0</v>
      </c>
      <c r="I36" s="22">
        <v>1422.8148148148146</v>
      </c>
      <c r="J36" s="33">
        <v>0</v>
      </c>
      <c r="K36" s="31"/>
      <c r="L36" s="3" t="s">
        <v>138</v>
      </c>
      <c r="M36" s="3" t="s">
        <v>238</v>
      </c>
      <c r="N36" s="32">
        <v>1016.2962962962962</v>
      </c>
      <c r="O36" s="32">
        <v>1422.8148148148146</v>
      </c>
      <c r="P36" s="32"/>
    </row>
    <row r="37" spans="2:16" x14ac:dyDescent="0.3">
      <c r="B37" s="25">
        <v>12015</v>
      </c>
      <c r="C37" s="3" t="s">
        <v>4</v>
      </c>
      <c r="D37" s="3" t="s">
        <v>21</v>
      </c>
      <c r="E37" s="3" t="s">
        <v>36</v>
      </c>
      <c r="F37" s="11" t="s">
        <v>139</v>
      </c>
      <c r="G37" s="22">
        <v>474.27160493827154</v>
      </c>
      <c r="H37" s="33">
        <v>0</v>
      </c>
      <c r="I37" s="22">
        <v>663.98024691358012</v>
      </c>
      <c r="J37" s="33">
        <v>0</v>
      </c>
      <c r="K37" s="31"/>
      <c r="L37" s="3" t="s">
        <v>139</v>
      </c>
      <c r="M37" s="3" t="s">
        <v>239</v>
      </c>
      <c r="N37" s="32">
        <v>474.27160493827154</v>
      </c>
      <c r="O37" s="32">
        <v>663.98024691358012</v>
      </c>
      <c r="P37" s="32"/>
    </row>
    <row r="38" spans="2:16" x14ac:dyDescent="0.3">
      <c r="B38" s="25">
        <v>12016</v>
      </c>
      <c r="C38" s="3" t="s">
        <v>4</v>
      </c>
      <c r="D38" s="3" t="s">
        <v>21</v>
      </c>
      <c r="E38" s="3" t="s">
        <v>37</v>
      </c>
      <c r="F38" s="11" t="s">
        <v>140</v>
      </c>
      <c r="G38" s="22">
        <v>221.32674897119338</v>
      </c>
      <c r="H38" s="33">
        <v>0</v>
      </c>
      <c r="I38" s="22">
        <v>309.85744855967073</v>
      </c>
      <c r="J38" s="33">
        <v>0</v>
      </c>
      <c r="K38" s="31"/>
      <c r="L38" s="3" t="s">
        <v>140</v>
      </c>
      <c r="M38" s="3" t="s">
        <v>240</v>
      </c>
      <c r="N38" s="32">
        <v>221.32674897119338</v>
      </c>
      <c r="O38" s="32">
        <v>309.85744855967073</v>
      </c>
      <c r="P38" s="32"/>
    </row>
    <row r="39" spans="2:16" x14ac:dyDescent="0.3">
      <c r="B39" s="25">
        <v>12017</v>
      </c>
      <c r="C39" s="3" t="s">
        <v>4</v>
      </c>
      <c r="D39" s="3" t="s">
        <v>21</v>
      </c>
      <c r="E39" s="3" t="s">
        <v>38</v>
      </c>
      <c r="F39" s="11" t="s">
        <v>141</v>
      </c>
      <c r="G39" s="22">
        <v>10000</v>
      </c>
      <c r="H39" s="33">
        <v>0</v>
      </c>
      <c r="I39" s="22">
        <v>14000</v>
      </c>
      <c r="J39" s="33">
        <v>0</v>
      </c>
      <c r="K39" s="31"/>
      <c r="L39" s="3" t="s">
        <v>141</v>
      </c>
      <c r="M39" s="3" t="s">
        <v>241</v>
      </c>
      <c r="N39" s="32">
        <v>10000</v>
      </c>
      <c r="O39" s="32">
        <v>14000</v>
      </c>
      <c r="P39" s="32"/>
    </row>
    <row r="40" spans="2:16" x14ac:dyDescent="0.3">
      <c r="B40" s="26">
        <v>12999</v>
      </c>
      <c r="C40" s="4" t="s">
        <v>4</v>
      </c>
      <c r="D40" s="4" t="s">
        <v>21</v>
      </c>
      <c r="E40" s="4" t="s">
        <v>39</v>
      </c>
      <c r="F40" s="11" t="s">
        <v>142</v>
      </c>
      <c r="G40" s="22">
        <v>4666.666666666667</v>
      </c>
      <c r="H40" s="33">
        <v>0</v>
      </c>
      <c r="I40" s="22">
        <v>6533.333333333333</v>
      </c>
      <c r="J40" s="33">
        <v>0</v>
      </c>
      <c r="K40" s="31"/>
      <c r="L40" s="3" t="s">
        <v>142</v>
      </c>
      <c r="M40" s="3" t="s">
        <v>242</v>
      </c>
      <c r="N40" s="32">
        <v>4666.666666666667</v>
      </c>
      <c r="O40" s="32">
        <v>6533.333333333333</v>
      </c>
      <c r="P40" s="32"/>
    </row>
    <row r="41" spans="2:16" x14ac:dyDescent="0.3">
      <c r="B41" s="25">
        <v>13001</v>
      </c>
      <c r="C41" s="3" t="s">
        <v>4</v>
      </c>
      <c r="D41" s="3" t="s">
        <v>40</v>
      </c>
      <c r="E41" s="3" t="s">
        <v>41</v>
      </c>
      <c r="F41" s="11" t="s">
        <v>143</v>
      </c>
      <c r="G41" s="22">
        <v>2177.7777777777778</v>
      </c>
      <c r="H41" s="33">
        <v>0</v>
      </c>
      <c r="I41" s="22">
        <v>3048.8888888888887</v>
      </c>
      <c r="J41" s="33">
        <v>0</v>
      </c>
      <c r="K41" s="31"/>
      <c r="L41" s="3" t="s">
        <v>143</v>
      </c>
      <c r="M41" s="3" t="s">
        <v>243</v>
      </c>
      <c r="N41" s="32">
        <v>2177.7777777777778</v>
      </c>
      <c r="O41" s="32">
        <v>3048.8888888888887</v>
      </c>
      <c r="P41" s="32"/>
    </row>
    <row r="42" spans="2:16" x14ac:dyDescent="0.3">
      <c r="B42" s="25">
        <v>13002</v>
      </c>
      <c r="C42" s="3" t="s">
        <v>4</v>
      </c>
      <c r="D42" s="3" t="s">
        <v>40</v>
      </c>
      <c r="E42" s="3" t="s">
        <v>42</v>
      </c>
      <c r="F42" s="11" t="s">
        <v>144</v>
      </c>
      <c r="G42" s="22">
        <v>1016.2962962962962</v>
      </c>
      <c r="H42" s="33">
        <v>0</v>
      </c>
      <c r="I42" s="22">
        <v>1422.8148148148146</v>
      </c>
      <c r="J42" s="33">
        <v>0</v>
      </c>
      <c r="K42" s="31"/>
      <c r="L42" s="3" t="s">
        <v>144</v>
      </c>
      <c r="M42" s="3" t="s">
        <v>244</v>
      </c>
      <c r="N42" s="32">
        <v>1016.2962962962962</v>
      </c>
      <c r="O42" s="32">
        <v>1422.8148148148146</v>
      </c>
      <c r="P42" s="32"/>
    </row>
    <row r="43" spans="2:16" x14ac:dyDescent="0.3">
      <c r="B43" s="26">
        <v>13010</v>
      </c>
      <c r="C43" s="4" t="s">
        <v>4</v>
      </c>
      <c r="D43" s="4" t="s">
        <v>40</v>
      </c>
      <c r="E43" s="4" t="s">
        <v>43</v>
      </c>
      <c r="F43" s="11" t="s">
        <v>145</v>
      </c>
      <c r="G43" s="22">
        <v>474.27160493827154</v>
      </c>
      <c r="H43" s="33">
        <v>0</v>
      </c>
      <c r="I43" s="22">
        <v>663.98024691358012</v>
      </c>
      <c r="J43" s="33">
        <v>0</v>
      </c>
      <c r="K43" s="31"/>
      <c r="L43" s="3" t="s">
        <v>145</v>
      </c>
      <c r="M43" s="3" t="s">
        <v>245</v>
      </c>
      <c r="N43" s="32">
        <v>474.27160493827154</v>
      </c>
      <c r="O43" s="32">
        <v>663.98024691358012</v>
      </c>
      <c r="P43" s="32"/>
    </row>
    <row r="44" spans="2:16" x14ac:dyDescent="0.3">
      <c r="B44" s="26">
        <v>13100</v>
      </c>
      <c r="C44" s="4" t="s">
        <v>4</v>
      </c>
      <c r="D44" s="4" t="s">
        <v>44</v>
      </c>
      <c r="E44" s="4" t="s">
        <v>45</v>
      </c>
      <c r="F44" s="11" t="s">
        <v>146</v>
      </c>
      <c r="G44" s="22">
        <v>221.32674897119338</v>
      </c>
      <c r="H44" s="33">
        <v>0</v>
      </c>
      <c r="I44" s="22">
        <v>309.85744855967073</v>
      </c>
      <c r="J44" s="33">
        <v>0</v>
      </c>
      <c r="K44" s="31"/>
      <c r="L44" s="3" t="s">
        <v>146</v>
      </c>
      <c r="M44" s="3" t="s">
        <v>246</v>
      </c>
      <c r="N44" s="32">
        <v>221.32674897119338</v>
      </c>
      <c r="O44" s="32">
        <v>309.85744855967073</v>
      </c>
      <c r="P44" s="32"/>
    </row>
    <row r="45" spans="2:16" x14ac:dyDescent="0.3">
      <c r="B45" s="25">
        <v>13201</v>
      </c>
      <c r="C45" s="3" t="s">
        <v>4</v>
      </c>
      <c r="D45" s="3" t="s">
        <v>46</v>
      </c>
      <c r="E45" s="3" t="s">
        <v>47</v>
      </c>
      <c r="F45" s="11" t="s">
        <v>147</v>
      </c>
      <c r="G45" s="22">
        <v>10000</v>
      </c>
      <c r="H45" s="33">
        <v>0</v>
      </c>
      <c r="I45" s="22">
        <v>14000</v>
      </c>
      <c r="J45" s="33">
        <v>0</v>
      </c>
      <c r="K45" s="31"/>
      <c r="L45" s="3" t="s">
        <v>147</v>
      </c>
      <c r="M45" s="3" t="s">
        <v>247</v>
      </c>
      <c r="N45" s="32">
        <v>10000</v>
      </c>
      <c r="O45" s="32">
        <v>14000</v>
      </c>
      <c r="P45" s="32"/>
    </row>
    <row r="46" spans="2:16" x14ac:dyDescent="0.3">
      <c r="B46" s="25">
        <v>13202</v>
      </c>
      <c r="C46" s="3" t="s">
        <v>4</v>
      </c>
      <c r="D46" s="3" t="s">
        <v>46</v>
      </c>
      <c r="E46" s="3" t="s">
        <v>48</v>
      </c>
      <c r="F46" s="11" t="s">
        <v>148</v>
      </c>
      <c r="G46" s="22">
        <v>4666.666666666667</v>
      </c>
      <c r="H46" s="33">
        <v>0</v>
      </c>
      <c r="I46" s="22">
        <v>6533.333333333333</v>
      </c>
      <c r="J46" s="33">
        <v>0</v>
      </c>
      <c r="K46" s="31"/>
      <c r="L46" s="3" t="s">
        <v>148</v>
      </c>
      <c r="M46" s="3" t="s">
        <v>248</v>
      </c>
      <c r="N46" s="32">
        <v>4666.666666666667</v>
      </c>
      <c r="O46" s="32">
        <v>6533.333333333333</v>
      </c>
      <c r="P46" s="32"/>
    </row>
    <row r="47" spans="2:16" x14ac:dyDescent="0.3">
      <c r="B47" s="25">
        <v>13203</v>
      </c>
      <c r="C47" s="3" t="s">
        <v>4</v>
      </c>
      <c r="D47" s="3" t="s">
        <v>46</v>
      </c>
      <c r="E47" s="3" t="s">
        <v>49</v>
      </c>
      <c r="F47" s="11" t="s">
        <v>149</v>
      </c>
      <c r="G47" s="22">
        <v>2177.7777777777778</v>
      </c>
      <c r="H47" s="33">
        <v>0</v>
      </c>
      <c r="I47" s="22">
        <v>3048.8888888888887</v>
      </c>
      <c r="J47" s="33">
        <v>0</v>
      </c>
      <c r="K47" s="31"/>
      <c r="L47" s="3" t="s">
        <v>149</v>
      </c>
      <c r="M47" s="3" t="s">
        <v>249</v>
      </c>
      <c r="N47" s="32">
        <v>2177.7777777777778</v>
      </c>
      <c r="O47" s="32">
        <v>3048.8888888888887</v>
      </c>
      <c r="P47" s="32"/>
    </row>
    <row r="48" spans="2:16" x14ac:dyDescent="0.3">
      <c r="B48" s="25">
        <v>13204</v>
      </c>
      <c r="C48" s="3" t="s">
        <v>4</v>
      </c>
      <c r="D48" s="3" t="s">
        <v>46</v>
      </c>
      <c r="E48" s="3" t="s">
        <v>50</v>
      </c>
      <c r="F48" s="11" t="s">
        <v>150</v>
      </c>
      <c r="G48" s="22">
        <v>1016.2962962962962</v>
      </c>
      <c r="H48" s="33">
        <v>0</v>
      </c>
      <c r="I48" s="22">
        <v>1422.8148148148146</v>
      </c>
      <c r="J48" s="33">
        <v>0</v>
      </c>
      <c r="K48" s="31"/>
      <c r="L48" s="3" t="s">
        <v>150</v>
      </c>
      <c r="M48" s="3" t="s">
        <v>250</v>
      </c>
      <c r="N48" s="32">
        <v>1016.2962962962962</v>
      </c>
      <c r="O48" s="32">
        <v>1422.8148148148146</v>
      </c>
      <c r="P48" s="32"/>
    </row>
    <row r="49" spans="2:16" x14ac:dyDescent="0.3">
      <c r="B49" s="25">
        <v>13205</v>
      </c>
      <c r="C49" s="3" t="s">
        <v>4</v>
      </c>
      <c r="D49" s="3" t="s">
        <v>46</v>
      </c>
      <c r="E49" s="3" t="s">
        <v>51</v>
      </c>
      <c r="F49" s="11" t="s">
        <v>151</v>
      </c>
      <c r="G49" s="22">
        <v>474.27160493827154</v>
      </c>
      <c r="H49" s="33">
        <v>0</v>
      </c>
      <c r="I49" s="22">
        <v>663.98024691358012</v>
      </c>
      <c r="J49" s="33">
        <v>0</v>
      </c>
      <c r="K49" s="31"/>
      <c r="L49" s="3" t="s">
        <v>151</v>
      </c>
      <c r="M49" s="3" t="s">
        <v>251</v>
      </c>
      <c r="N49" s="32">
        <v>474.27160493827154</v>
      </c>
      <c r="O49" s="32">
        <v>663.98024691358012</v>
      </c>
      <c r="P49" s="32"/>
    </row>
    <row r="50" spans="2:16" x14ac:dyDescent="0.3">
      <c r="B50" s="25">
        <v>13206</v>
      </c>
      <c r="C50" s="3" t="s">
        <v>4</v>
      </c>
      <c r="D50" s="3" t="s">
        <v>46</v>
      </c>
      <c r="E50" s="3" t="s">
        <v>52</v>
      </c>
      <c r="F50" s="11" t="s">
        <v>152</v>
      </c>
      <c r="G50" s="22">
        <v>221.32674897119338</v>
      </c>
      <c r="H50" s="33">
        <v>0</v>
      </c>
      <c r="I50" s="22">
        <v>309.85744855967073</v>
      </c>
      <c r="J50" s="33">
        <v>0</v>
      </c>
      <c r="K50" s="31"/>
      <c r="L50" s="3" t="s">
        <v>152</v>
      </c>
      <c r="M50" s="3" t="s">
        <v>252</v>
      </c>
      <c r="N50" s="32">
        <v>221.32674897119338</v>
      </c>
      <c r="O50" s="32">
        <v>309.85744855967073</v>
      </c>
      <c r="P50" s="32"/>
    </row>
    <row r="51" spans="2:16" x14ac:dyDescent="0.3">
      <c r="B51" s="25">
        <v>13207</v>
      </c>
      <c r="C51" s="3" t="s">
        <v>4</v>
      </c>
      <c r="D51" s="3" t="s">
        <v>46</v>
      </c>
      <c r="E51" s="3" t="s">
        <v>53</v>
      </c>
      <c r="F51" s="11" t="s">
        <v>153</v>
      </c>
      <c r="G51" s="22">
        <v>10000</v>
      </c>
      <c r="H51" s="33">
        <v>0</v>
      </c>
      <c r="I51" s="22">
        <v>14000</v>
      </c>
      <c r="J51" s="33">
        <v>0</v>
      </c>
      <c r="K51" s="31"/>
      <c r="L51" s="3" t="s">
        <v>153</v>
      </c>
      <c r="M51" s="3" t="s">
        <v>253</v>
      </c>
      <c r="N51" s="32">
        <v>10000</v>
      </c>
      <c r="O51" s="32">
        <v>14000</v>
      </c>
      <c r="P51" s="32"/>
    </row>
    <row r="52" spans="2:16" x14ac:dyDescent="0.3">
      <c r="B52" s="25">
        <v>13208</v>
      </c>
      <c r="C52" s="3" t="s">
        <v>4</v>
      </c>
      <c r="D52" s="3" t="s">
        <v>46</v>
      </c>
      <c r="E52" s="3" t="s">
        <v>54</v>
      </c>
      <c r="F52" s="11" t="s">
        <v>154</v>
      </c>
      <c r="G52" s="22">
        <v>4666.666666666667</v>
      </c>
      <c r="H52" s="33">
        <v>0</v>
      </c>
      <c r="I52" s="22">
        <v>6533.333333333333</v>
      </c>
      <c r="J52" s="33">
        <v>0</v>
      </c>
      <c r="K52" s="31"/>
      <c r="L52" s="3" t="s">
        <v>154</v>
      </c>
      <c r="M52" s="3" t="s">
        <v>254</v>
      </c>
      <c r="N52" s="32">
        <v>4666.666666666667</v>
      </c>
      <c r="O52" s="32">
        <v>6533.333333333333</v>
      </c>
      <c r="P52" s="32"/>
    </row>
    <row r="53" spans="2:16" x14ac:dyDescent="0.3">
      <c r="B53" s="26">
        <v>13299</v>
      </c>
      <c r="C53" s="4" t="s">
        <v>4</v>
      </c>
      <c r="D53" s="4" t="s">
        <v>46</v>
      </c>
      <c r="E53" s="4" t="s">
        <v>55</v>
      </c>
      <c r="F53" s="11" t="s">
        <v>155</v>
      </c>
      <c r="G53" s="22">
        <v>2177.7777777777778</v>
      </c>
      <c r="H53" s="33">
        <v>0</v>
      </c>
      <c r="I53" s="22">
        <v>3048.8888888888887</v>
      </c>
      <c r="J53" s="33">
        <v>0</v>
      </c>
      <c r="K53" s="31"/>
      <c r="L53" s="3" t="s">
        <v>155</v>
      </c>
      <c r="M53" s="3" t="s">
        <v>255</v>
      </c>
      <c r="N53" s="32">
        <v>2177.7777777777778</v>
      </c>
      <c r="O53" s="32">
        <v>3048.8888888888887</v>
      </c>
      <c r="P53" s="32"/>
    </row>
    <row r="54" spans="2:16" x14ac:dyDescent="0.3">
      <c r="B54" s="26">
        <v>13300</v>
      </c>
      <c r="C54" s="4" t="s">
        <v>4</v>
      </c>
      <c r="D54" s="4" t="s">
        <v>56</v>
      </c>
      <c r="E54" s="4" t="s">
        <v>57</v>
      </c>
      <c r="F54" s="11" t="s">
        <v>156</v>
      </c>
      <c r="G54" s="22">
        <v>1016.2962962962962</v>
      </c>
      <c r="H54" s="33">
        <v>0</v>
      </c>
      <c r="I54" s="22">
        <v>1422.8148148148146</v>
      </c>
      <c r="J54" s="33">
        <v>0</v>
      </c>
      <c r="K54" s="31"/>
      <c r="L54" s="3" t="s">
        <v>156</v>
      </c>
      <c r="M54" s="3" t="s">
        <v>256</v>
      </c>
      <c r="N54" s="32">
        <v>1016.2962962962962</v>
      </c>
      <c r="O54" s="32">
        <v>1422.8148148148146</v>
      </c>
      <c r="P54" s="32"/>
    </row>
    <row r="55" spans="2:16" x14ac:dyDescent="0.3">
      <c r="B55" s="26">
        <v>13301</v>
      </c>
      <c r="C55" s="4" t="s">
        <v>4</v>
      </c>
      <c r="D55" s="4" t="s">
        <v>58</v>
      </c>
      <c r="E55" s="4" t="s">
        <v>59</v>
      </c>
      <c r="F55" s="11" t="s">
        <v>157</v>
      </c>
      <c r="G55" s="22">
        <v>474.27160493827154</v>
      </c>
      <c r="H55" s="33">
        <v>0</v>
      </c>
      <c r="I55" s="22">
        <v>663.98024691358012</v>
      </c>
      <c r="J55" s="33">
        <v>0</v>
      </c>
      <c r="K55" s="31"/>
      <c r="L55" s="3" t="s">
        <v>157</v>
      </c>
      <c r="M55" s="3" t="s">
        <v>257</v>
      </c>
      <c r="N55" s="32">
        <v>474.27160493827154</v>
      </c>
      <c r="O55" s="32">
        <v>663.98024691358012</v>
      </c>
      <c r="P55" s="32"/>
    </row>
    <row r="56" spans="2:16" x14ac:dyDescent="0.3">
      <c r="B56" s="26">
        <v>13302</v>
      </c>
      <c r="C56" s="4" t="s">
        <v>4</v>
      </c>
      <c r="D56" s="4" t="s">
        <v>60</v>
      </c>
      <c r="E56" s="4" t="s">
        <v>61</v>
      </c>
      <c r="F56" s="11" t="s">
        <v>158</v>
      </c>
      <c r="G56" s="22">
        <v>221.32674897119338</v>
      </c>
      <c r="H56" s="33">
        <v>0</v>
      </c>
      <c r="I56" s="22">
        <v>309.85744855967073</v>
      </c>
      <c r="J56" s="33">
        <v>0</v>
      </c>
      <c r="K56" s="31"/>
      <c r="L56" s="3" t="s">
        <v>158</v>
      </c>
      <c r="M56" s="3" t="s">
        <v>258</v>
      </c>
      <c r="N56" s="32">
        <v>221.32674897119338</v>
      </c>
      <c r="O56" s="32">
        <v>309.85744855967073</v>
      </c>
      <c r="P56" s="32"/>
    </row>
    <row r="57" spans="2:16" x14ac:dyDescent="0.3">
      <c r="B57" s="25">
        <v>13401</v>
      </c>
      <c r="C57" s="3" t="s">
        <v>4</v>
      </c>
      <c r="D57" s="3" t="s">
        <v>62</v>
      </c>
      <c r="E57" s="3" t="s">
        <v>63</v>
      </c>
      <c r="F57" s="11" t="s">
        <v>159</v>
      </c>
      <c r="G57" s="22">
        <v>10000</v>
      </c>
      <c r="H57" s="33">
        <v>0</v>
      </c>
      <c r="I57" s="22">
        <v>14000</v>
      </c>
      <c r="J57" s="33">
        <v>0</v>
      </c>
      <c r="K57" s="31"/>
      <c r="L57" s="3" t="s">
        <v>159</v>
      </c>
      <c r="M57" s="3" t="s">
        <v>259</v>
      </c>
      <c r="N57" s="32">
        <v>10000</v>
      </c>
      <c r="O57" s="32">
        <v>14000</v>
      </c>
      <c r="P57" s="32"/>
    </row>
    <row r="58" spans="2:16" x14ac:dyDescent="0.3">
      <c r="B58" s="25">
        <v>13402</v>
      </c>
      <c r="C58" s="3" t="s">
        <v>4</v>
      </c>
      <c r="D58" s="3" t="s">
        <v>62</v>
      </c>
      <c r="E58" s="3" t="s">
        <v>64</v>
      </c>
      <c r="F58" s="11" t="s">
        <v>160</v>
      </c>
      <c r="G58" s="22">
        <v>4666.666666666667</v>
      </c>
      <c r="H58" s="33">
        <v>0</v>
      </c>
      <c r="I58" s="22">
        <v>6533.333333333333</v>
      </c>
      <c r="J58" s="33">
        <v>0</v>
      </c>
      <c r="K58" s="31"/>
      <c r="L58" s="3" t="s">
        <v>160</v>
      </c>
      <c r="M58" s="3" t="s">
        <v>260</v>
      </c>
      <c r="N58" s="32">
        <v>4666.666666666667</v>
      </c>
      <c r="O58" s="32">
        <v>6533.333333333333</v>
      </c>
      <c r="P58" s="32"/>
    </row>
    <row r="59" spans="2:16" x14ac:dyDescent="0.3">
      <c r="B59" s="25">
        <v>13403</v>
      </c>
      <c r="C59" s="3" t="s">
        <v>4</v>
      </c>
      <c r="D59" s="3" t="s">
        <v>62</v>
      </c>
      <c r="E59" s="3" t="s">
        <v>65</v>
      </c>
      <c r="F59" s="11" t="s">
        <v>161</v>
      </c>
      <c r="G59" s="22">
        <v>2177.7777777777778</v>
      </c>
      <c r="H59" s="33">
        <v>0</v>
      </c>
      <c r="I59" s="22">
        <v>3048.8888888888887</v>
      </c>
      <c r="J59" s="33">
        <v>0</v>
      </c>
      <c r="K59" s="31"/>
      <c r="L59" s="3" t="s">
        <v>161</v>
      </c>
      <c r="M59" s="3" t="s">
        <v>261</v>
      </c>
      <c r="N59" s="32">
        <v>2177.7777777777778</v>
      </c>
      <c r="O59" s="32">
        <v>3048.8888888888887</v>
      </c>
      <c r="P59" s="32"/>
    </row>
    <row r="60" spans="2:16" x14ac:dyDescent="0.3">
      <c r="B60" s="25">
        <v>13404</v>
      </c>
      <c r="C60" s="3" t="s">
        <v>4</v>
      </c>
      <c r="D60" s="3" t="s">
        <v>62</v>
      </c>
      <c r="E60" s="3" t="s">
        <v>66</v>
      </c>
      <c r="F60" s="11" t="s">
        <v>162</v>
      </c>
      <c r="G60" s="22">
        <v>1016.2962962962962</v>
      </c>
      <c r="H60" s="33">
        <v>0</v>
      </c>
      <c r="I60" s="22">
        <v>1422.8148148148146</v>
      </c>
      <c r="J60" s="33">
        <v>0</v>
      </c>
      <c r="K60" s="31"/>
      <c r="L60" s="3" t="s">
        <v>162</v>
      </c>
      <c r="M60" s="3" t="s">
        <v>262</v>
      </c>
      <c r="N60" s="32">
        <v>1016.2962962962962</v>
      </c>
      <c r="O60" s="32">
        <v>1422.8148148148146</v>
      </c>
      <c r="P60" s="32"/>
    </row>
    <row r="61" spans="2:16" x14ac:dyDescent="0.3">
      <c r="B61" s="25">
        <v>13405</v>
      </c>
      <c r="C61" s="3" t="s">
        <v>4</v>
      </c>
      <c r="D61" s="3" t="s">
        <v>62</v>
      </c>
      <c r="E61" s="3" t="s">
        <v>67</v>
      </c>
      <c r="F61" s="11" t="s">
        <v>163</v>
      </c>
      <c r="G61" s="22">
        <v>474.27160493827154</v>
      </c>
      <c r="H61" s="33">
        <v>0</v>
      </c>
      <c r="I61" s="22">
        <v>663.98024691358012</v>
      </c>
      <c r="J61" s="33">
        <v>0</v>
      </c>
      <c r="K61" s="31"/>
      <c r="L61" s="3" t="s">
        <v>163</v>
      </c>
      <c r="M61" s="3" t="s">
        <v>263</v>
      </c>
      <c r="N61" s="32">
        <v>474.27160493827154</v>
      </c>
      <c r="O61" s="32">
        <v>663.98024691358012</v>
      </c>
      <c r="P61" s="32"/>
    </row>
    <row r="62" spans="2:16" x14ac:dyDescent="0.3">
      <c r="B62" s="25">
        <v>13406</v>
      </c>
      <c r="C62" s="3" t="s">
        <v>4</v>
      </c>
      <c r="D62" s="3" t="s">
        <v>62</v>
      </c>
      <c r="E62" s="3" t="s">
        <v>68</v>
      </c>
      <c r="F62" s="11" t="s">
        <v>164</v>
      </c>
      <c r="G62" s="22">
        <v>221.32674897119338</v>
      </c>
      <c r="H62" s="33">
        <v>0</v>
      </c>
      <c r="I62" s="22">
        <v>309.85744855967073</v>
      </c>
      <c r="J62" s="33">
        <v>0</v>
      </c>
      <c r="K62" s="31"/>
      <c r="L62" s="3" t="s">
        <v>164</v>
      </c>
      <c r="M62" s="3" t="s">
        <v>264</v>
      </c>
      <c r="N62" s="32">
        <v>221.32674897119338</v>
      </c>
      <c r="O62" s="32">
        <v>309.85744855967073</v>
      </c>
      <c r="P62" s="32"/>
    </row>
    <row r="63" spans="2:16" x14ac:dyDescent="0.3">
      <c r="B63" s="25">
        <v>13407</v>
      </c>
      <c r="C63" s="3" t="s">
        <v>4</v>
      </c>
      <c r="D63" s="3" t="s">
        <v>62</v>
      </c>
      <c r="E63" s="3" t="s">
        <v>69</v>
      </c>
      <c r="F63" s="11" t="s">
        <v>165</v>
      </c>
      <c r="G63" s="22">
        <v>10000</v>
      </c>
      <c r="H63" s="33">
        <v>0</v>
      </c>
      <c r="I63" s="22">
        <v>14000</v>
      </c>
      <c r="J63" s="33">
        <v>0</v>
      </c>
      <c r="K63" s="31"/>
      <c r="L63" s="3" t="s">
        <v>165</v>
      </c>
      <c r="M63" s="3" t="s">
        <v>265</v>
      </c>
      <c r="N63" s="32">
        <v>10000</v>
      </c>
      <c r="O63" s="32">
        <v>14000</v>
      </c>
      <c r="P63" s="32"/>
    </row>
    <row r="64" spans="2:16" x14ac:dyDescent="0.3">
      <c r="B64" s="25">
        <v>13499</v>
      </c>
      <c r="C64" s="3" t="s">
        <v>4</v>
      </c>
      <c r="D64" s="3" t="s">
        <v>62</v>
      </c>
      <c r="E64" s="3" t="s">
        <v>70</v>
      </c>
      <c r="F64" s="11" t="s">
        <v>166</v>
      </c>
      <c r="G64" s="22">
        <v>4666.666666666667</v>
      </c>
      <c r="H64" s="33">
        <v>0</v>
      </c>
      <c r="I64" s="22">
        <v>6533.333333333333</v>
      </c>
      <c r="J64" s="33">
        <v>0</v>
      </c>
      <c r="K64" s="31"/>
      <c r="L64" s="3" t="s">
        <v>166</v>
      </c>
      <c r="M64" s="3" t="s">
        <v>266</v>
      </c>
      <c r="N64" s="32">
        <v>4666.666666666667</v>
      </c>
      <c r="O64" s="32">
        <v>6533.333333333333</v>
      </c>
      <c r="P64" s="32"/>
    </row>
    <row r="65" spans="2:16" x14ac:dyDescent="0.3">
      <c r="B65" s="26">
        <v>13500</v>
      </c>
      <c r="C65" s="4" t="s">
        <v>4</v>
      </c>
      <c r="D65" s="4" t="s">
        <v>71</v>
      </c>
      <c r="E65" s="4" t="s">
        <v>72</v>
      </c>
      <c r="F65" s="11" t="s">
        <v>167</v>
      </c>
      <c r="G65" s="22">
        <v>2177.7777777777778</v>
      </c>
      <c r="H65" s="33">
        <v>0</v>
      </c>
      <c r="I65" s="22">
        <v>3048.8888888888887</v>
      </c>
      <c r="J65" s="33">
        <v>0</v>
      </c>
      <c r="K65" s="31"/>
      <c r="L65" s="3" t="s">
        <v>167</v>
      </c>
      <c r="M65" s="3" t="s">
        <v>267</v>
      </c>
      <c r="N65" s="32">
        <v>2177.7777777777778</v>
      </c>
      <c r="O65" s="32">
        <v>3048.8888888888887</v>
      </c>
      <c r="P65" s="32"/>
    </row>
    <row r="66" spans="2:16" x14ac:dyDescent="0.3">
      <c r="B66" s="26">
        <v>13501</v>
      </c>
      <c r="C66" s="4" t="s">
        <v>4</v>
      </c>
      <c r="D66" s="4" t="s">
        <v>71</v>
      </c>
      <c r="E66" s="5" t="s">
        <v>73</v>
      </c>
      <c r="F66" s="11" t="s">
        <v>168</v>
      </c>
      <c r="G66" s="22">
        <v>1016.2962962962962</v>
      </c>
      <c r="H66" s="33">
        <v>0</v>
      </c>
      <c r="I66" s="22">
        <v>1422.8148148148146</v>
      </c>
      <c r="J66" s="33">
        <v>0</v>
      </c>
      <c r="K66" s="31"/>
      <c r="L66" s="3" t="s">
        <v>168</v>
      </c>
      <c r="M66" s="3" t="s">
        <v>268</v>
      </c>
      <c r="N66" s="32">
        <v>1016.2962962962962</v>
      </c>
      <c r="O66" s="32">
        <v>1422.8148148148146</v>
      </c>
      <c r="P66" s="32"/>
    </row>
    <row r="67" spans="2:16" x14ac:dyDescent="0.3">
      <c r="B67" s="26">
        <v>13502</v>
      </c>
      <c r="C67" s="4" t="s">
        <v>4</v>
      </c>
      <c r="D67" s="4" t="s">
        <v>71</v>
      </c>
      <c r="E67" s="4" t="s">
        <v>74</v>
      </c>
      <c r="F67" s="11" t="s">
        <v>169</v>
      </c>
      <c r="G67" s="22">
        <v>474.27160493827154</v>
      </c>
      <c r="H67" s="33">
        <v>0</v>
      </c>
      <c r="I67" s="22">
        <v>663.98024691358012</v>
      </c>
      <c r="J67" s="33">
        <v>0</v>
      </c>
      <c r="K67" s="31"/>
      <c r="L67" s="3" t="s">
        <v>169</v>
      </c>
      <c r="M67" s="3" t="s">
        <v>269</v>
      </c>
      <c r="N67" s="32">
        <v>474.27160493827154</v>
      </c>
      <c r="O67" s="32">
        <v>663.98024691358012</v>
      </c>
      <c r="P67" s="32"/>
    </row>
    <row r="68" spans="2:16" x14ac:dyDescent="0.3">
      <c r="B68" s="25">
        <v>14001</v>
      </c>
      <c r="C68" s="3" t="s">
        <v>75</v>
      </c>
      <c r="D68" s="3" t="s">
        <v>76</v>
      </c>
      <c r="E68" s="3" t="s">
        <v>77</v>
      </c>
      <c r="F68" s="11" t="s">
        <v>170</v>
      </c>
      <c r="G68" s="22">
        <v>221.32674897119338</v>
      </c>
      <c r="H68" s="33">
        <v>0</v>
      </c>
      <c r="I68" s="22">
        <v>309.85744855967073</v>
      </c>
      <c r="J68" s="33">
        <v>0</v>
      </c>
      <c r="K68" s="31"/>
      <c r="L68" s="3" t="s">
        <v>170</v>
      </c>
      <c r="M68" s="3" t="s">
        <v>270</v>
      </c>
      <c r="N68" s="32">
        <v>221.32674897119338</v>
      </c>
      <c r="O68" s="32">
        <v>309.85744855967073</v>
      </c>
      <c r="P68" s="32"/>
    </row>
    <row r="69" spans="2:16" x14ac:dyDescent="0.3">
      <c r="B69" s="25">
        <v>14002</v>
      </c>
      <c r="C69" s="3" t="s">
        <v>75</v>
      </c>
      <c r="D69" s="3" t="s">
        <v>76</v>
      </c>
      <c r="E69" s="3" t="s">
        <v>24</v>
      </c>
      <c r="F69" s="11" t="s">
        <v>171</v>
      </c>
      <c r="G69" s="22">
        <v>10000</v>
      </c>
      <c r="H69" s="33">
        <v>0</v>
      </c>
      <c r="I69" s="22">
        <v>14000</v>
      </c>
      <c r="J69" s="33">
        <v>0</v>
      </c>
      <c r="K69" s="31"/>
      <c r="L69" s="3" t="s">
        <v>171</v>
      </c>
      <c r="M69" s="3" t="s">
        <v>227</v>
      </c>
      <c r="N69" s="32">
        <v>10000</v>
      </c>
      <c r="O69" s="32">
        <v>14000</v>
      </c>
      <c r="P69" s="32"/>
    </row>
    <row r="70" spans="2:16" x14ac:dyDescent="0.3">
      <c r="B70" s="25">
        <v>14003</v>
      </c>
      <c r="C70" s="3" t="s">
        <v>75</v>
      </c>
      <c r="D70" s="3" t="s">
        <v>76</v>
      </c>
      <c r="E70" s="3" t="s">
        <v>78</v>
      </c>
      <c r="F70" s="11" t="s">
        <v>172</v>
      </c>
      <c r="G70" s="22">
        <v>4666.666666666667</v>
      </c>
      <c r="H70" s="33">
        <v>0</v>
      </c>
      <c r="I70" s="22">
        <v>6533.333333333333</v>
      </c>
      <c r="J70" s="33">
        <v>0</v>
      </c>
      <c r="K70" s="31"/>
      <c r="L70" s="3" t="s">
        <v>172</v>
      </c>
      <c r="M70" s="3" t="s">
        <v>271</v>
      </c>
      <c r="N70" s="32">
        <v>4666.666666666667</v>
      </c>
      <c r="O70" s="32">
        <v>6533.333333333333</v>
      </c>
      <c r="P70" s="32"/>
    </row>
    <row r="71" spans="2:16" x14ac:dyDescent="0.3">
      <c r="B71" s="25">
        <v>14004</v>
      </c>
      <c r="C71" s="3" t="s">
        <v>75</v>
      </c>
      <c r="D71" s="3" t="s">
        <v>76</v>
      </c>
      <c r="E71" s="3" t="s">
        <v>22</v>
      </c>
      <c r="F71" s="11" t="s">
        <v>173</v>
      </c>
      <c r="G71" s="22">
        <v>2177.7777777777778</v>
      </c>
      <c r="H71" s="33">
        <v>0</v>
      </c>
      <c r="I71" s="22">
        <v>3048.8888888888887</v>
      </c>
      <c r="J71" s="33">
        <v>0</v>
      </c>
      <c r="K71" s="31"/>
      <c r="L71" s="3" t="s">
        <v>173</v>
      </c>
      <c r="M71" s="3" t="s">
        <v>225</v>
      </c>
      <c r="N71" s="32">
        <v>2177.7777777777778</v>
      </c>
      <c r="O71" s="32">
        <v>3048.8888888888887</v>
      </c>
      <c r="P71" s="32"/>
    </row>
    <row r="72" spans="2:16" x14ac:dyDescent="0.3">
      <c r="B72" s="25">
        <v>14005</v>
      </c>
      <c r="C72" s="3" t="s">
        <v>75</v>
      </c>
      <c r="D72" s="3" t="s">
        <v>76</v>
      </c>
      <c r="E72" s="3" t="s">
        <v>35</v>
      </c>
      <c r="F72" s="11" t="s">
        <v>174</v>
      </c>
      <c r="G72" s="22">
        <v>1016.2962962962962</v>
      </c>
      <c r="H72" s="33">
        <v>0</v>
      </c>
      <c r="I72" s="22">
        <v>1422.8148148148146</v>
      </c>
      <c r="J72" s="33">
        <v>0</v>
      </c>
      <c r="K72" s="31"/>
      <c r="L72" s="3" t="s">
        <v>174</v>
      </c>
      <c r="M72" s="3" t="s">
        <v>238</v>
      </c>
      <c r="N72" s="32">
        <v>1016.2962962962962</v>
      </c>
      <c r="O72" s="32">
        <v>1422.8148148148146</v>
      </c>
      <c r="P72" s="32"/>
    </row>
    <row r="73" spans="2:16" x14ac:dyDescent="0.3">
      <c r="B73" s="25">
        <v>14006</v>
      </c>
      <c r="C73" s="3" t="s">
        <v>75</v>
      </c>
      <c r="D73" s="3" t="s">
        <v>76</v>
      </c>
      <c r="E73" s="3" t="s">
        <v>36</v>
      </c>
      <c r="F73" s="11" t="s">
        <v>175</v>
      </c>
      <c r="G73" s="22">
        <v>474.27160493827154</v>
      </c>
      <c r="H73" s="33">
        <v>0</v>
      </c>
      <c r="I73" s="22">
        <v>663.98024691358012</v>
      </c>
      <c r="J73" s="33">
        <v>0</v>
      </c>
      <c r="K73" s="31"/>
      <c r="L73" s="3" t="s">
        <v>175</v>
      </c>
      <c r="M73" s="3" t="s">
        <v>239</v>
      </c>
      <c r="N73" s="32">
        <v>474.27160493827154</v>
      </c>
      <c r="O73" s="32">
        <v>663.98024691358012</v>
      </c>
      <c r="P73" s="32"/>
    </row>
    <row r="74" spans="2:16" x14ac:dyDescent="0.3">
      <c r="B74" s="25">
        <v>14007</v>
      </c>
      <c r="C74" s="3" t="s">
        <v>75</v>
      </c>
      <c r="D74" s="3" t="s">
        <v>76</v>
      </c>
      <c r="E74" s="3" t="s">
        <v>37</v>
      </c>
      <c r="F74" s="11" t="s">
        <v>176</v>
      </c>
      <c r="G74" s="22">
        <v>221.32674897119338</v>
      </c>
      <c r="H74" s="33">
        <v>0</v>
      </c>
      <c r="I74" s="22">
        <v>309.85744855967073</v>
      </c>
      <c r="J74" s="33">
        <v>0</v>
      </c>
      <c r="K74" s="31"/>
      <c r="L74" s="3" t="s">
        <v>176</v>
      </c>
      <c r="M74" s="3" t="s">
        <v>240</v>
      </c>
      <c r="N74" s="32">
        <v>221.32674897119338</v>
      </c>
      <c r="O74" s="32">
        <v>309.85744855967073</v>
      </c>
      <c r="P74" s="32"/>
    </row>
    <row r="75" spans="2:16" x14ac:dyDescent="0.3">
      <c r="B75" s="25">
        <v>14008</v>
      </c>
      <c r="C75" s="3" t="s">
        <v>75</v>
      </c>
      <c r="D75" s="3" t="s">
        <v>76</v>
      </c>
      <c r="E75" s="3" t="s">
        <v>79</v>
      </c>
      <c r="F75" s="11" t="s">
        <v>177</v>
      </c>
      <c r="G75" s="22">
        <v>10000</v>
      </c>
      <c r="H75" s="33">
        <v>0</v>
      </c>
      <c r="I75" s="22">
        <v>14000</v>
      </c>
      <c r="J75" s="33">
        <v>0</v>
      </c>
      <c r="K75" s="31"/>
      <c r="L75" s="3" t="s">
        <v>177</v>
      </c>
      <c r="M75" s="3" t="s">
        <v>272</v>
      </c>
      <c r="N75" s="32">
        <v>10000</v>
      </c>
      <c r="O75" s="32">
        <v>14000</v>
      </c>
      <c r="P75" s="32"/>
    </row>
    <row r="76" spans="2:16" x14ac:dyDescent="0.3">
      <c r="B76" s="25">
        <v>14009</v>
      </c>
      <c r="C76" s="3" t="s">
        <v>75</v>
      </c>
      <c r="D76" s="3" t="s">
        <v>76</v>
      </c>
      <c r="E76" s="3" t="s">
        <v>80</v>
      </c>
      <c r="F76" s="11" t="s">
        <v>178</v>
      </c>
      <c r="G76" s="22">
        <v>4666.666666666667</v>
      </c>
      <c r="H76" s="33">
        <v>0</v>
      </c>
      <c r="I76" s="22">
        <v>6533.333333333333</v>
      </c>
      <c r="J76" s="33">
        <v>0</v>
      </c>
      <c r="K76" s="31"/>
      <c r="L76" s="3" t="s">
        <v>178</v>
      </c>
      <c r="M76" s="3" t="s">
        <v>273</v>
      </c>
      <c r="N76" s="32">
        <v>4666.666666666667</v>
      </c>
      <c r="O76" s="32">
        <v>6533.333333333333</v>
      </c>
      <c r="P76" s="32"/>
    </row>
    <row r="77" spans="2:16" x14ac:dyDescent="0.3">
      <c r="B77" s="25">
        <v>14010</v>
      </c>
      <c r="C77" s="3" t="s">
        <v>75</v>
      </c>
      <c r="D77" s="3" t="s">
        <v>76</v>
      </c>
      <c r="E77" s="3" t="s">
        <v>81</v>
      </c>
      <c r="F77" s="11" t="s">
        <v>179</v>
      </c>
      <c r="G77" s="22">
        <v>2177.7777777777778</v>
      </c>
      <c r="H77" s="33">
        <v>0</v>
      </c>
      <c r="I77" s="22">
        <v>3048.8888888888887</v>
      </c>
      <c r="J77" s="33">
        <v>0</v>
      </c>
      <c r="K77" s="31"/>
      <c r="L77" s="3" t="s">
        <v>179</v>
      </c>
      <c r="M77" s="3" t="s">
        <v>274</v>
      </c>
      <c r="N77" s="32">
        <v>2177.7777777777778</v>
      </c>
      <c r="O77" s="32">
        <v>3048.8888888888887</v>
      </c>
      <c r="P77" s="32"/>
    </row>
    <row r="78" spans="2:16" x14ac:dyDescent="0.3">
      <c r="B78" s="25">
        <v>14011</v>
      </c>
      <c r="C78" s="3" t="s">
        <v>75</v>
      </c>
      <c r="D78" s="3" t="s">
        <v>76</v>
      </c>
      <c r="E78" s="3" t="s">
        <v>82</v>
      </c>
      <c r="F78" s="11" t="s">
        <v>180</v>
      </c>
      <c r="G78" s="22">
        <v>1016.2962962962962</v>
      </c>
      <c r="H78" s="33">
        <v>0</v>
      </c>
      <c r="I78" s="22">
        <v>1422.8148148148146</v>
      </c>
      <c r="J78" s="33">
        <v>0</v>
      </c>
      <c r="K78" s="31"/>
      <c r="L78" s="3" t="s">
        <v>180</v>
      </c>
      <c r="M78" s="3" t="s">
        <v>275</v>
      </c>
      <c r="N78" s="32">
        <v>1016.2962962962962</v>
      </c>
      <c r="O78" s="32">
        <v>1422.8148148148146</v>
      </c>
      <c r="P78" s="32"/>
    </row>
    <row r="79" spans="2:16" x14ac:dyDescent="0.3">
      <c r="B79" s="25">
        <v>14012</v>
      </c>
      <c r="C79" s="3" t="s">
        <v>75</v>
      </c>
      <c r="D79" s="3" t="s">
        <v>76</v>
      </c>
      <c r="E79" s="3" t="s">
        <v>83</v>
      </c>
      <c r="F79" s="11" t="s">
        <v>181</v>
      </c>
      <c r="G79" s="22">
        <v>474.27160493827154</v>
      </c>
      <c r="H79" s="33">
        <v>0</v>
      </c>
      <c r="I79" s="22">
        <v>663.98024691358012</v>
      </c>
      <c r="J79" s="33">
        <v>0</v>
      </c>
      <c r="K79" s="31"/>
      <c r="L79" s="3" t="s">
        <v>181</v>
      </c>
      <c r="M79" s="3" t="s">
        <v>276</v>
      </c>
      <c r="N79" s="32">
        <v>474.27160493827154</v>
      </c>
      <c r="O79" s="32">
        <v>663.98024691358012</v>
      </c>
      <c r="P79" s="32"/>
    </row>
    <row r="80" spans="2:16" x14ac:dyDescent="0.3">
      <c r="B80" s="25">
        <v>14013</v>
      </c>
      <c r="C80" s="3" t="s">
        <v>75</v>
      </c>
      <c r="D80" s="3" t="s">
        <v>76</v>
      </c>
      <c r="E80" s="3" t="s">
        <v>84</v>
      </c>
      <c r="F80" s="11" t="s">
        <v>182</v>
      </c>
      <c r="G80" s="22">
        <v>221.32674897119338</v>
      </c>
      <c r="H80" s="33">
        <v>0</v>
      </c>
      <c r="I80" s="22">
        <v>309.85744855967073</v>
      </c>
      <c r="J80" s="33">
        <v>0</v>
      </c>
      <c r="K80" s="31"/>
      <c r="L80" s="3" t="s">
        <v>182</v>
      </c>
      <c r="M80" s="3" t="s">
        <v>277</v>
      </c>
      <c r="N80" s="32">
        <v>221.32674897119338</v>
      </c>
      <c r="O80" s="32">
        <v>309.85744855967073</v>
      </c>
      <c r="P80" s="32"/>
    </row>
    <row r="81" spans="2:16" x14ac:dyDescent="0.3">
      <c r="B81" s="25">
        <v>14014</v>
      </c>
      <c r="C81" s="3" t="s">
        <v>75</v>
      </c>
      <c r="D81" s="3" t="s">
        <v>76</v>
      </c>
      <c r="E81" s="6" t="s">
        <v>85</v>
      </c>
      <c r="F81" s="11" t="s">
        <v>183</v>
      </c>
      <c r="G81" s="22">
        <v>10000</v>
      </c>
      <c r="H81" s="33">
        <v>0</v>
      </c>
      <c r="I81" s="22">
        <v>14000</v>
      </c>
      <c r="J81" s="33">
        <v>0</v>
      </c>
      <c r="K81" s="31"/>
      <c r="L81" s="3" t="s">
        <v>183</v>
      </c>
      <c r="M81" s="3" t="s">
        <v>278</v>
      </c>
      <c r="N81" s="32">
        <v>10000</v>
      </c>
      <c r="O81" s="32">
        <v>14000</v>
      </c>
      <c r="P81" s="32"/>
    </row>
    <row r="82" spans="2:16" x14ac:dyDescent="0.3">
      <c r="B82" s="25">
        <v>14015</v>
      </c>
      <c r="C82" s="3" t="s">
        <v>75</v>
      </c>
      <c r="D82" s="3" t="s">
        <v>76</v>
      </c>
      <c r="E82" s="6" t="s">
        <v>86</v>
      </c>
      <c r="F82" s="11" t="s">
        <v>184</v>
      </c>
      <c r="G82" s="22">
        <v>4666.666666666667</v>
      </c>
      <c r="H82" s="33">
        <v>0</v>
      </c>
      <c r="I82" s="22">
        <v>6533.333333333333</v>
      </c>
      <c r="J82" s="33">
        <v>0</v>
      </c>
      <c r="K82" s="31"/>
      <c r="L82" s="3" t="s">
        <v>184</v>
      </c>
      <c r="M82" s="3" t="s">
        <v>279</v>
      </c>
      <c r="N82" s="32">
        <v>4666.666666666667</v>
      </c>
      <c r="O82" s="32">
        <v>6533.333333333333</v>
      </c>
      <c r="P82" s="32"/>
    </row>
    <row r="83" spans="2:16" x14ac:dyDescent="0.3">
      <c r="B83" s="26">
        <v>14099</v>
      </c>
      <c r="C83" s="4" t="s">
        <v>75</v>
      </c>
      <c r="D83" s="4" t="s">
        <v>76</v>
      </c>
      <c r="E83" s="4" t="s">
        <v>87</v>
      </c>
      <c r="F83" s="11" t="s">
        <v>185</v>
      </c>
      <c r="G83" s="22">
        <v>2177.7777777777778</v>
      </c>
      <c r="H83" s="33">
        <v>0</v>
      </c>
      <c r="I83" s="22">
        <v>3048.8888888888887</v>
      </c>
      <c r="J83" s="33">
        <v>0</v>
      </c>
      <c r="K83" s="31"/>
      <c r="L83" s="3" t="s">
        <v>185</v>
      </c>
      <c r="M83" s="3" t="s">
        <v>280</v>
      </c>
      <c r="N83" s="32">
        <v>2177.7777777777778</v>
      </c>
      <c r="O83" s="32">
        <v>3048.8888888888887</v>
      </c>
      <c r="P83" s="32"/>
    </row>
    <row r="84" spans="2:16" x14ac:dyDescent="0.3">
      <c r="B84" s="25">
        <v>14101</v>
      </c>
      <c r="C84" s="3" t="s">
        <v>75</v>
      </c>
      <c r="D84" s="3" t="s">
        <v>88</v>
      </c>
      <c r="E84" s="3" t="s">
        <v>89</v>
      </c>
      <c r="F84" s="11" t="s">
        <v>186</v>
      </c>
      <c r="G84" s="22">
        <v>1016.2962962962962</v>
      </c>
      <c r="H84" s="33">
        <v>0</v>
      </c>
      <c r="I84" s="22">
        <v>1422.8148148148146</v>
      </c>
      <c r="J84" s="33">
        <v>0</v>
      </c>
      <c r="K84" s="31"/>
      <c r="L84" s="3" t="s">
        <v>186</v>
      </c>
      <c r="M84" s="3" t="s">
        <v>281</v>
      </c>
      <c r="N84" s="32">
        <v>1016.2962962962962</v>
      </c>
      <c r="O84" s="32">
        <v>1422.8148148148146</v>
      </c>
      <c r="P84" s="32"/>
    </row>
    <row r="85" spans="2:16" x14ac:dyDescent="0.3">
      <c r="B85" s="25">
        <v>14102</v>
      </c>
      <c r="C85" s="3" t="s">
        <v>75</v>
      </c>
      <c r="D85" s="3" t="s">
        <v>88</v>
      </c>
      <c r="E85" s="3" t="s">
        <v>90</v>
      </c>
      <c r="F85" s="11" t="s">
        <v>187</v>
      </c>
      <c r="G85" s="22">
        <v>474.27160493827154</v>
      </c>
      <c r="H85" s="33">
        <v>0</v>
      </c>
      <c r="I85" s="22">
        <v>663.98024691358012</v>
      </c>
      <c r="J85" s="33">
        <v>0</v>
      </c>
      <c r="K85" s="31"/>
      <c r="L85" s="3" t="s">
        <v>187</v>
      </c>
      <c r="M85" s="3" t="s">
        <v>282</v>
      </c>
      <c r="N85" s="32">
        <v>474.27160493827154</v>
      </c>
      <c r="O85" s="32">
        <v>663.98024691358012</v>
      </c>
      <c r="P85" s="32"/>
    </row>
    <row r="86" spans="2:16" x14ac:dyDescent="0.3">
      <c r="B86" s="25">
        <v>14103</v>
      </c>
      <c r="C86" s="3" t="s">
        <v>75</v>
      </c>
      <c r="D86" s="3" t="s">
        <v>88</v>
      </c>
      <c r="E86" s="3" t="s">
        <v>91</v>
      </c>
      <c r="F86" s="11" t="s">
        <v>188</v>
      </c>
      <c r="G86" s="22">
        <v>221.32674897119338</v>
      </c>
      <c r="H86" s="33">
        <v>0</v>
      </c>
      <c r="I86" s="22">
        <v>309.85744855967073</v>
      </c>
      <c r="J86" s="33">
        <v>0</v>
      </c>
      <c r="K86" s="31"/>
      <c r="L86" s="3" t="s">
        <v>188</v>
      </c>
      <c r="M86" s="3" t="s">
        <v>283</v>
      </c>
      <c r="N86" s="32">
        <v>221.32674897119338</v>
      </c>
      <c r="O86" s="32">
        <v>309.85744855967073</v>
      </c>
      <c r="P86" s="32"/>
    </row>
    <row r="87" spans="2:16" x14ac:dyDescent="0.3">
      <c r="B87" s="25">
        <v>14104</v>
      </c>
      <c r="C87" s="3" t="s">
        <v>75</v>
      </c>
      <c r="D87" s="3" t="s">
        <v>88</v>
      </c>
      <c r="E87" s="3" t="s">
        <v>92</v>
      </c>
      <c r="F87" s="11" t="s">
        <v>189</v>
      </c>
      <c r="G87" s="22">
        <v>10000</v>
      </c>
      <c r="H87" s="33">
        <v>0</v>
      </c>
      <c r="I87" s="22">
        <v>14000</v>
      </c>
      <c r="J87" s="33">
        <v>0</v>
      </c>
      <c r="K87" s="31"/>
      <c r="L87" s="3" t="s">
        <v>189</v>
      </c>
      <c r="M87" s="3" t="s">
        <v>284</v>
      </c>
      <c r="N87" s="32">
        <v>10000</v>
      </c>
      <c r="O87" s="32">
        <v>14000</v>
      </c>
      <c r="P87" s="32"/>
    </row>
    <row r="88" spans="2:16" x14ac:dyDescent="0.3">
      <c r="B88" s="25">
        <v>14105</v>
      </c>
      <c r="C88" s="3" t="s">
        <v>75</v>
      </c>
      <c r="D88" s="3" t="s">
        <v>88</v>
      </c>
      <c r="E88" s="3" t="s">
        <v>93</v>
      </c>
      <c r="F88" s="11" t="s">
        <v>190</v>
      </c>
      <c r="G88" s="22">
        <v>4666.666666666667</v>
      </c>
      <c r="H88" s="33">
        <v>0</v>
      </c>
      <c r="I88" s="22">
        <v>6533.333333333333</v>
      </c>
      <c r="J88" s="33">
        <v>0</v>
      </c>
      <c r="K88" s="31"/>
      <c r="L88" s="3" t="s">
        <v>190</v>
      </c>
      <c r="M88" s="3" t="s">
        <v>285</v>
      </c>
      <c r="N88" s="32">
        <v>4666.666666666667</v>
      </c>
      <c r="O88" s="32">
        <v>6533.333333333333</v>
      </c>
      <c r="P88" s="32"/>
    </row>
    <row r="89" spans="2:16" x14ac:dyDescent="0.3">
      <c r="B89" s="25">
        <v>14106</v>
      </c>
      <c r="C89" s="3" t="s">
        <v>75</v>
      </c>
      <c r="D89" s="3" t="s">
        <v>88</v>
      </c>
      <c r="E89" s="3" t="s">
        <v>94</v>
      </c>
      <c r="F89" s="11" t="s">
        <v>191</v>
      </c>
      <c r="G89" s="22">
        <v>2177.7777777777778</v>
      </c>
      <c r="H89" s="33">
        <v>0</v>
      </c>
      <c r="I89" s="22">
        <v>3048.8888888888887</v>
      </c>
      <c r="J89" s="33">
        <v>0</v>
      </c>
      <c r="K89" s="31"/>
      <c r="L89" s="3" t="s">
        <v>191</v>
      </c>
      <c r="M89" s="3" t="s">
        <v>286</v>
      </c>
      <c r="N89" s="32">
        <v>2177.7777777777778</v>
      </c>
      <c r="O89" s="32">
        <v>3048.8888888888887</v>
      </c>
      <c r="P89" s="32"/>
    </row>
    <row r="90" spans="2:16" x14ac:dyDescent="0.3">
      <c r="B90" s="25">
        <v>14107</v>
      </c>
      <c r="C90" s="3" t="s">
        <v>75</v>
      </c>
      <c r="D90" s="3" t="s">
        <v>88</v>
      </c>
      <c r="E90" s="3" t="s">
        <v>95</v>
      </c>
      <c r="F90" s="11" t="s">
        <v>192</v>
      </c>
      <c r="G90" s="22">
        <v>1016.2962962962962</v>
      </c>
      <c r="H90" s="33">
        <v>0</v>
      </c>
      <c r="I90" s="22">
        <v>1422.8148148148146</v>
      </c>
      <c r="J90" s="33">
        <v>0</v>
      </c>
      <c r="K90" s="31"/>
      <c r="L90" s="3" t="s">
        <v>192</v>
      </c>
      <c r="M90" s="3" t="s">
        <v>287</v>
      </c>
      <c r="N90" s="32">
        <v>1016.2962962962962</v>
      </c>
      <c r="O90" s="32">
        <v>1422.8148148148146</v>
      </c>
      <c r="P90" s="32"/>
    </row>
    <row r="91" spans="2:16" x14ac:dyDescent="0.3">
      <c r="B91" s="26">
        <v>14199</v>
      </c>
      <c r="C91" s="4" t="s">
        <v>75</v>
      </c>
      <c r="D91" s="4" t="s">
        <v>88</v>
      </c>
      <c r="E91" s="4" t="s">
        <v>96</v>
      </c>
      <c r="F91" s="11" t="s">
        <v>193</v>
      </c>
      <c r="G91" s="22">
        <v>474.27160493827154</v>
      </c>
      <c r="H91" s="33">
        <v>0</v>
      </c>
      <c r="I91" s="22">
        <v>663.98024691358012</v>
      </c>
      <c r="J91" s="33">
        <v>0</v>
      </c>
      <c r="K91" s="31"/>
      <c r="L91" s="3" t="s">
        <v>193</v>
      </c>
      <c r="M91" s="3" t="s">
        <v>288</v>
      </c>
      <c r="N91" s="32">
        <v>474.27160493827154</v>
      </c>
      <c r="O91" s="32">
        <v>663.98024691358012</v>
      </c>
      <c r="P91" s="32"/>
    </row>
    <row r="92" spans="2:16" x14ac:dyDescent="0.3">
      <c r="B92" s="25">
        <v>14200</v>
      </c>
      <c r="C92" s="3" t="s">
        <v>75</v>
      </c>
      <c r="D92" s="3" t="s">
        <v>97</v>
      </c>
      <c r="E92" s="3" t="s">
        <v>98</v>
      </c>
      <c r="F92" s="11" t="s">
        <v>194</v>
      </c>
      <c r="G92" s="22">
        <v>221.32674897119338</v>
      </c>
      <c r="H92" s="33">
        <v>0</v>
      </c>
      <c r="I92" s="22">
        <v>309.85744855967073</v>
      </c>
      <c r="J92" s="33">
        <v>0</v>
      </c>
      <c r="K92" s="31"/>
      <c r="L92" s="3" t="s">
        <v>194</v>
      </c>
      <c r="M92" s="3" t="s">
        <v>289</v>
      </c>
      <c r="N92" s="32">
        <v>221.32674897119338</v>
      </c>
      <c r="O92" s="32">
        <v>309.85744855967073</v>
      </c>
      <c r="P92" s="32"/>
    </row>
    <row r="93" spans="2:16" x14ac:dyDescent="0.3">
      <c r="B93" s="25">
        <v>14201</v>
      </c>
      <c r="C93" s="3" t="s">
        <v>75</v>
      </c>
      <c r="D93" s="3" t="s">
        <v>99</v>
      </c>
      <c r="E93" s="3" t="s">
        <v>100</v>
      </c>
      <c r="F93" s="11" t="s">
        <v>195</v>
      </c>
      <c r="G93" s="22">
        <v>10000</v>
      </c>
      <c r="H93" s="33">
        <v>0</v>
      </c>
      <c r="I93" s="22">
        <v>14000</v>
      </c>
      <c r="J93" s="33">
        <v>0</v>
      </c>
      <c r="K93" s="31"/>
      <c r="L93" s="3" t="s">
        <v>195</v>
      </c>
      <c r="M93" s="3" t="s">
        <v>290</v>
      </c>
      <c r="N93" s="32">
        <v>10000</v>
      </c>
      <c r="O93" s="32">
        <v>14000</v>
      </c>
      <c r="P93" s="32"/>
    </row>
    <row r="94" spans="2:16" x14ac:dyDescent="0.3">
      <c r="B94" s="26">
        <v>14299</v>
      </c>
      <c r="C94" s="4" t="s">
        <v>75</v>
      </c>
      <c r="D94" s="4" t="s">
        <v>99</v>
      </c>
      <c r="E94" s="4" t="s">
        <v>101</v>
      </c>
      <c r="F94" s="11" t="s">
        <v>196</v>
      </c>
      <c r="G94" s="22">
        <v>4666.666666666667</v>
      </c>
      <c r="H94" s="33">
        <v>0</v>
      </c>
      <c r="I94" s="22">
        <v>6533.333333333333</v>
      </c>
      <c r="J94" s="33">
        <v>0</v>
      </c>
      <c r="K94" s="31"/>
      <c r="L94" s="3" t="s">
        <v>196</v>
      </c>
      <c r="M94" s="3" t="s">
        <v>291</v>
      </c>
      <c r="N94" s="32">
        <v>4666.666666666667</v>
      </c>
      <c r="O94" s="32">
        <v>6533.333333333333</v>
      </c>
      <c r="P94" s="32"/>
    </row>
    <row r="95" spans="2:16" x14ac:dyDescent="0.3">
      <c r="B95" s="25">
        <v>14301</v>
      </c>
      <c r="C95" s="3" t="s">
        <v>75</v>
      </c>
      <c r="D95" s="3" t="s">
        <v>102</v>
      </c>
      <c r="E95" s="3" t="s">
        <v>103</v>
      </c>
      <c r="F95" s="11" t="s">
        <v>197</v>
      </c>
      <c r="G95" s="22">
        <v>2177.7777777777778</v>
      </c>
      <c r="H95" s="33">
        <v>0</v>
      </c>
      <c r="I95" s="22">
        <v>3048.8888888888887</v>
      </c>
      <c r="J95" s="33">
        <v>0</v>
      </c>
      <c r="K95" s="31"/>
      <c r="L95" s="3" t="s">
        <v>197</v>
      </c>
      <c r="M95" s="3" t="s">
        <v>292</v>
      </c>
      <c r="N95" s="32">
        <v>2177.7777777777778</v>
      </c>
      <c r="O95" s="32">
        <v>3048.8888888888887</v>
      </c>
      <c r="P95" s="32"/>
    </row>
    <row r="96" spans="2:16" x14ac:dyDescent="0.3">
      <c r="B96" s="26">
        <v>14399</v>
      </c>
      <c r="C96" s="4" t="s">
        <v>75</v>
      </c>
      <c r="D96" s="4" t="s">
        <v>102</v>
      </c>
      <c r="E96" s="4" t="s">
        <v>104</v>
      </c>
      <c r="F96" s="11" t="s">
        <v>198</v>
      </c>
      <c r="G96" s="22">
        <v>1016.2962962962962</v>
      </c>
      <c r="H96" s="33">
        <v>0</v>
      </c>
      <c r="I96" s="22">
        <v>1422.8148148148146</v>
      </c>
      <c r="J96" s="33">
        <v>0</v>
      </c>
      <c r="K96" s="31"/>
      <c r="L96" s="3" t="s">
        <v>198</v>
      </c>
      <c r="M96" s="3" t="s">
        <v>293</v>
      </c>
      <c r="N96" s="32">
        <v>1016.2962962962962</v>
      </c>
      <c r="O96" s="32">
        <v>1422.8148148148146</v>
      </c>
      <c r="P96" s="32"/>
    </row>
    <row r="97" spans="2:16" x14ac:dyDescent="0.3">
      <c r="B97" s="26">
        <v>14400</v>
      </c>
      <c r="C97" s="4" t="s">
        <v>75</v>
      </c>
      <c r="D97" s="4" t="s">
        <v>105</v>
      </c>
      <c r="E97" s="4" t="s">
        <v>106</v>
      </c>
      <c r="F97" s="11" t="s">
        <v>199</v>
      </c>
      <c r="G97" s="22">
        <v>474.27160493827154</v>
      </c>
      <c r="H97" s="33">
        <v>0</v>
      </c>
      <c r="I97" s="22">
        <v>663.98024691358012</v>
      </c>
      <c r="J97" s="33">
        <v>0</v>
      </c>
      <c r="K97" s="31"/>
      <c r="L97" s="3" t="s">
        <v>199</v>
      </c>
      <c r="M97" s="3" t="s">
        <v>294</v>
      </c>
      <c r="N97" s="32">
        <v>474.27160493827154</v>
      </c>
      <c r="O97" s="32">
        <v>663.98024691358012</v>
      </c>
      <c r="P97" s="32"/>
    </row>
    <row r="98" spans="2:16" x14ac:dyDescent="0.3">
      <c r="B98" s="27">
        <v>14401</v>
      </c>
      <c r="C98" s="7" t="s">
        <v>75</v>
      </c>
      <c r="D98" s="7" t="s">
        <v>107</v>
      </c>
      <c r="E98" s="7" t="s">
        <v>108</v>
      </c>
      <c r="F98" s="11" t="s">
        <v>200</v>
      </c>
      <c r="G98" s="23">
        <v>221.32674897119338</v>
      </c>
      <c r="H98" s="33">
        <v>0</v>
      </c>
      <c r="I98" s="22">
        <v>309.85744855967073</v>
      </c>
      <c r="J98" s="29">
        <v>0</v>
      </c>
      <c r="K98" s="31"/>
      <c r="L98" s="3" t="s">
        <v>200</v>
      </c>
      <c r="M98" s="3" t="s">
        <v>295</v>
      </c>
      <c r="N98" s="32">
        <v>221.32674897119338</v>
      </c>
      <c r="O98" s="32">
        <v>309.85744855967073</v>
      </c>
      <c r="P98" s="32"/>
    </row>
    <row r="99" spans="2:16" x14ac:dyDescent="0.3">
      <c r="B99" s="1"/>
    </row>
    <row r="100" spans="2:16" x14ac:dyDescent="0.3">
      <c r="B100" s="1"/>
    </row>
    <row r="101" spans="2:16" x14ac:dyDescent="0.3">
      <c r="B101" s="1"/>
    </row>
    <row r="102" spans="2:16" x14ac:dyDescent="0.3">
      <c r="B102" s="1"/>
    </row>
  </sheetData>
  <mergeCells count="1">
    <mergeCell ref="A1:E1"/>
  </mergeCells>
  <phoneticPr fontId="9" type="noConversion"/>
  <conditionalFormatting sqref="C22:E22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40:E40">
    <cfRule type="iconSet" priority="6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52594-31EC-4BF3-80A6-DDB9BFEFC150}">
  <sheetPr codeName="Sheet6"/>
  <dimension ref="A1:F83"/>
  <sheetViews>
    <sheetView zoomScale="77" workbookViewId="0">
      <selection activeCell="A9" sqref="A9"/>
    </sheetView>
  </sheetViews>
  <sheetFormatPr defaultRowHeight="14.4" x14ac:dyDescent="0.3"/>
  <cols>
    <col min="1" max="1" width="61.88671875" customWidth="1"/>
    <col min="2" max="2" width="19.88671875" bestFit="1" customWidth="1"/>
    <col min="3" max="3" width="25.5546875" bestFit="1" customWidth="1"/>
    <col min="5" max="5" width="17.77734375" bestFit="1" customWidth="1"/>
    <col min="6" max="6" width="64.88671875" customWidth="1"/>
  </cols>
  <sheetData>
    <row r="1" spans="1:6" x14ac:dyDescent="0.3">
      <c r="A1" s="126" t="s">
        <v>296</v>
      </c>
      <c r="B1" s="127"/>
      <c r="C1" s="127"/>
      <c r="E1" s="34"/>
    </row>
    <row r="2" spans="1:6" x14ac:dyDescent="0.3">
      <c r="A2" s="19"/>
      <c r="E2" s="34"/>
    </row>
    <row r="3" spans="1:6" x14ac:dyDescent="0.3">
      <c r="A3" s="19"/>
      <c r="E3" s="34"/>
    </row>
    <row r="4" spans="1:6" x14ac:dyDescent="0.3">
      <c r="A4" s="19"/>
      <c r="E4" s="34"/>
    </row>
    <row r="5" spans="1:6" x14ac:dyDescent="0.3">
      <c r="A5" s="19"/>
      <c r="E5" s="34"/>
    </row>
    <row r="6" spans="1:6" x14ac:dyDescent="0.3">
      <c r="A6" s="20"/>
      <c r="C6" s="34"/>
      <c r="E6" s="134" t="s">
        <v>297</v>
      </c>
      <c r="F6" s="135"/>
    </row>
    <row r="7" spans="1:6" x14ac:dyDescent="0.3">
      <c r="C7" s="34"/>
      <c r="E7" s="34"/>
    </row>
    <row r="8" spans="1:6" x14ac:dyDescent="0.3">
      <c r="B8" t="s">
        <v>343</v>
      </c>
      <c r="C8" s="35" t="s">
        <v>342</v>
      </c>
      <c r="D8" s="18"/>
      <c r="E8" s="35" t="s">
        <v>299</v>
      </c>
      <c r="F8" s="18" t="s">
        <v>300</v>
      </c>
    </row>
    <row r="9" spans="1:6" x14ac:dyDescent="0.3">
      <c r="A9" t="s">
        <v>6</v>
      </c>
      <c r="B9">
        <v>10001</v>
      </c>
      <c r="C9" s="128">
        <v>10000</v>
      </c>
      <c r="D9" s="37"/>
      <c r="E9" s="130"/>
      <c r="F9" s="21"/>
    </row>
    <row r="10" spans="1:6" x14ac:dyDescent="0.3">
      <c r="A10" t="s">
        <v>7</v>
      </c>
      <c r="B10">
        <v>10002</v>
      </c>
      <c r="C10" s="128">
        <v>4666.666666666667</v>
      </c>
      <c r="D10" s="37"/>
      <c r="E10" s="21"/>
      <c r="F10" s="21"/>
    </row>
    <row r="11" spans="1:6" ht="15" thickBot="1" x14ac:dyDescent="0.35">
      <c r="A11" s="40" t="s">
        <v>8</v>
      </c>
      <c r="B11" s="40"/>
      <c r="C11" s="41">
        <f>SUM(C9:C10)</f>
        <v>14666.666666666668</v>
      </c>
      <c r="D11" s="42"/>
      <c r="E11" s="131"/>
      <c r="F11" s="131"/>
    </row>
    <row r="12" spans="1:6" ht="15" thickTop="1" x14ac:dyDescent="0.3">
      <c r="C12" s="128"/>
      <c r="D12" s="37"/>
      <c r="E12" s="21"/>
      <c r="F12" s="21"/>
    </row>
    <row r="13" spans="1:6" x14ac:dyDescent="0.3">
      <c r="A13" s="45" t="s">
        <v>9</v>
      </c>
      <c r="C13" s="128"/>
      <c r="D13" s="37"/>
      <c r="E13" s="21"/>
      <c r="F13" s="21"/>
    </row>
    <row r="14" spans="1:6" x14ac:dyDescent="0.3">
      <c r="A14" t="s">
        <v>10</v>
      </c>
      <c r="B14">
        <v>11001</v>
      </c>
      <c r="C14" s="128">
        <v>1016.2962962962962</v>
      </c>
      <c r="D14" s="37"/>
      <c r="E14" s="21"/>
      <c r="F14" s="21"/>
    </row>
    <row r="15" spans="1:6" x14ac:dyDescent="0.3">
      <c r="A15" t="s">
        <v>11</v>
      </c>
      <c r="B15">
        <v>11002</v>
      </c>
      <c r="C15" s="128">
        <v>474.27160493827154</v>
      </c>
      <c r="D15" s="37"/>
      <c r="E15" s="21"/>
      <c r="F15" s="21"/>
    </row>
    <row r="16" spans="1:6" x14ac:dyDescent="0.3">
      <c r="A16" t="s">
        <v>12</v>
      </c>
      <c r="B16">
        <v>11003</v>
      </c>
      <c r="C16" s="128">
        <v>221.32674897119338</v>
      </c>
      <c r="D16" s="37"/>
      <c r="E16" s="21"/>
      <c r="F16" s="21"/>
    </row>
    <row r="17" spans="1:6" x14ac:dyDescent="0.3">
      <c r="A17" t="s">
        <v>13</v>
      </c>
      <c r="B17">
        <v>11004</v>
      </c>
      <c r="C17" s="128">
        <v>10000</v>
      </c>
      <c r="D17" s="37"/>
      <c r="E17" s="21"/>
      <c r="F17" s="21"/>
    </row>
    <row r="18" spans="1:6" x14ac:dyDescent="0.3">
      <c r="A18" t="s">
        <v>14</v>
      </c>
      <c r="B18">
        <v>11005</v>
      </c>
      <c r="C18" s="128">
        <v>4666.666666666667</v>
      </c>
      <c r="D18" s="37"/>
      <c r="E18" s="21"/>
      <c r="F18" s="21"/>
    </row>
    <row r="19" spans="1:6" x14ac:dyDescent="0.3">
      <c r="A19" t="s">
        <v>15</v>
      </c>
      <c r="B19">
        <v>11006</v>
      </c>
      <c r="C19" s="128">
        <v>2177.7777777777778</v>
      </c>
      <c r="D19" s="37"/>
      <c r="E19" s="21"/>
      <c r="F19" s="21"/>
    </row>
    <row r="20" spans="1:6" x14ac:dyDescent="0.3">
      <c r="A20" t="s">
        <v>16</v>
      </c>
      <c r="B20">
        <v>11007</v>
      </c>
      <c r="C20" s="128">
        <v>1016.2962962962962</v>
      </c>
      <c r="D20" s="37"/>
      <c r="E20" s="21"/>
      <c r="F20" s="21"/>
    </row>
    <row r="21" spans="1:6" x14ac:dyDescent="0.3">
      <c r="A21" t="s">
        <v>17</v>
      </c>
      <c r="B21">
        <v>11008</v>
      </c>
      <c r="C21" s="128">
        <v>474.27160493827154</v>
      </c>
      <c r="D21" s="37"/>
      <c r="E21" s="21"/>
      <c r="F21" s="21"/>
    </row>
    <row r="22" spans="1:6" x14ac:dyDescent="0.3">
      <c r="A22" t="s">
        <v>18</v>
      </c>
      <c r="B22">
        <v>11009</v>
      </c>
      <c r="C22" s="36">
        <v>221.32674897119338</v>
      </c>
      <c r="D22" s="37"/>
      <c r="E22" s="21"/>
      <c r="F22" s="21"/>
    </row>
    <row r="23" spans="1:6" x14ac:dyDescent="0.3">
      <c r="A23" t="s">
        <v>19</v>
      </c>
      <c r="B23">
        <v>11010</v>
      </c>
      <c r="C23" s="128">
        <v>10000</v>
      </c>
      <c r="D23" s="37"/>
      <c r="E23" s="21"/>
      <c r="F23" s="21"/>
    </row>
    <row r="24" spans="1:6" ht="15" thickBot="1" x14ac:dyDescent="0.35">
      <c r="A24" s="40" t="s">
        <v>20</v>
      </c>
      <c r="B24" s="40"/>
      <c r="C24" s="129">
        <f>SUM(C14:C23)</f>
        <v>30268.233744855967</v>
      </c>
      <c r="D24" s="42"/>
      <c r="E24" s="131"/>
      <c r="F24" s="131"/>
    </row>
    <row r="25" spans="1:6" ht="15" thickTop="1" x14ac:dyDescent="0.3">
      <c r="C25" s="128"/>
      <c r="D25" s="37"/>
      <c r="E25" s="21"/>
      <c r="F25" s="21"/>
    </row>
    <row r="26" spans="1:6" x14ac:dyDescent="0.3">
      <c r="A26" s="45" t="s">
        <v>21</v>
      </c>
      <c r="C26" s="128"/>
      <c r="D26" s="37"/>
      <c r="E26" s="21"/>
      <c r="F26" s="21"/>
    </row>
    <row r="27" spans="1:6" x14ac:dyDescent="0.3">
      <c r="A27" t="s">
        <v>22</v>
      </c>
      <c r="B27">
        <v>12001</v>
      </c>
      <c r="C27" s="128">
        <v>2177.7777777777778</v>
      </c>
      <c r="D27" s="37"/>
      <c r="E27" s="21"/>
      <c r="F27" s="21"/>
    </row>
    <row r="28" spans="1:6" x14ac:dyDescent="0.3">
      <c r="A28" t="s">
        <v>23</v>
      </c>
      <c r="B28">
        <v>12002</v>
      </c>
      <c r="C28" s="128">
        <v>1016.2962962962962</v>
      </c>
      <c r="D28" s="37"/>
      <c r="E28" s="21"/>
      <c r="F28" s="21"/>
    </row>
    <row r="29" spans="1:6" x14ac:dyDescent="0.3">
      <c r="A29" t="s">
        <v>24</v>
      </c>
      <c r="B29">
        <v>12003</v>
      </c>
      <c r="C29" s="128">
        <v>474.27160493827154</v>
      </c>
      <c r="D29" s="37"/>
      <c r="E29" s="21"/>
      <c r="F29" s="21"/>
    </row>
    <row r="30" spans="1:6" x14ac:dyDescent="0.3">
      <c r="A30" t="s">
        <v>25</v>
      </c>
      <c r="B30">
        <v>12004</v>
      </c>
      <c r="C30" s="128">
        <v>221.32674897119338</v>
      </c>
      <c r="D30" s="37"/>
      <c r="E30" s="21"/>
      <c r="F30" s="21"/>
    </row>
    <row r="31" spans="1:6" x14ac:dyDescent="0.3">
      <c r="A31" t="s">
        <v>26</v>
      </c>
      <c r="B31">
        <v>12005</v>
      </c>
      <c r="C31" s="128">
        <v>10000</v>
      </c>
      <c r="D31" s="37"/>
      <c r="E31" s="21"/>
      <c r="F31" s="21"/>
    </row>
    <row r="32" spans="1:6" x14ac:dyDescent="0.3">
      <c r="A32" t="s">
        <v>27</v>
      </c>
      <c r="B32">
        <v>12006</v>
      </c>
      <c r="C32" s="128">
        <v>4666.666666666667</v>
      </c>
      <c r="D32" s="37"/>
      <c r="E32" s="21"/>
      <c r="F32" s="21"/>
    </row>
    <row r="33" spans="1:6" x14ac:dyDescent="0.3">
      <c r="A33" t="s">
        <v>28</v>
      </c>
      <c r="B33">
        <v>12007</v>
      </c>
      <c r="C33" s="128">
        <v>2177.7777777777778</v>
      </c>
      <c r="D33" s="37"/>
      <c r="E33" s="21"/>
      <c r="F33" s="21"/>
    </row>
    <row r="34" spans="1:6" x14ac:dyDescent="0.3">
      <c r="A34" t="s">
        <v>29</v>
      </c>
      <c r="B34">
        <v>12008</v>
      </c>
      <c r="C34" s="128">
        <v>1016.2962962962962</v>
      </c>
      <c r="D34" s="37"/>
      <c r="E34" s="21"/>
      <c r="F34" s="21"/>
    </row>
    <row r="35" spans="1:6" x14ac:dyDescent="0.3">
      <c r="A35" t="s">
        <v>30</v>
      </c>
      <c r="B35">
        <v>12009</v>
      </c>
      <c r="C35" s="128">
        <v>474.27160493827154</v>
      </c>
      <c r="D35" s="37"/>
      <c r="E35" s="21"/>
      <c r="F35" s="21"/>
    </row>
    <row r="36" spans="1:6" x14ac:dyDescent="0.3">
      <c r="A36" t="s">
        <v>31</v>
      </c>
      <c r="B36">
        <v>12010</v>
      </c>
      <c r="C36" s="128">
        <v>221.32674897119338</v>
      </c>
      <c r="D36" s="37"/>
      <c r="E36" s="21"/>
      <c r="F36" s="21"/>
    </row>
    <row r="37" spans="1:6" x14ac:dyDescent="0.3">
      <c r="A37" t="s">
        <v>32</v>
      </c>
      <c r="B37">
        <v>12011</v>
      </c>
      <c r="C37" s="128">
        <v>10000</v>
      </c>
      <c r="D37" s="37"/>
      <c r="E37" s="21"/>
      <c r="F37" s="21"/>
    </row>
    <row r="38" spans="1:6" x14ac:dyDescent="0.3">
      <c r="A38" t="s">
        <v>33</v>
      </c>
      <c r="B38">
        <v>12012</v>
      </c>
      <c r="C38" s="128">
        <v>4666.666666666667</v>
      </c>
      <c r="D38" s="37"/>
      <c r="E38" s="21"/>
      <c r="F38" s="21"/>
    </row>
    <row r="39" spans="1:6" x14ac:dyDescent="0.3">
      <c r="A39" t="s">
        <v>34</v>
      </c>
      <c r="B39">
        <v>12013</v>
      </c>
      <c r="C39" s="128">
        <v>2177.7777777777778</v>
      </c>
      <c r="D39" s="37"/>
      <c r="E39" s="21"/>
      <c r="F39" s="21"/>
    </row>
    <row r="40" spans="1:6" x14ac:dyDescent="0.3">
      <c r="A40" t="s">
        <v>35</v>
      </c>
      <c r="B40">
        <v>12014</v>
      </c>
      <c r="C40" s="36">
        <v>1016.2962962962962</v>
      </c>
      <c r="D40" s="37"/>
      <c r="E40" s="21"/>
      <c r="F40" s="21"/>
    </row>
    <row r="41" spans="1:6" x14ac:dyDescent="0.3">
      <c r="A41" t="s">
        <v>36</v>
      </c>
      <c r="B41">
        <v>12015</v>
      </c>
      <c r="C41" s="128">
        <v>474.27160493827154</v>
      </c>
      <c r="D41" s="37"/>
      <c r="E41" s="21"/>
      <c r="F41" s="21"/>
    </row>
    <row r="42" spans="1:6" x14ac:dyDescent="0.3">
      <c r="A42" t="s">
        <v>37</v>
      </c>
      <c r="B42">
        <v>12016</v>
      </c>
      <c r="C42" s="128">
        <v>221.32674897119338</v>
      </c>
      <c r="D42" s="37"/>
      <c r="E42" s="21"/>
      <c r="F42" s="21"/>
    </row>
    <row r="43" spans="1:6" x14ac:dyDescent="0.3">
      <c r="A43" t="s">
        <v>38</v>
      </c>
      <c r="B43">
        <v>12017</v>
      </c>
      <c r="C43" s="36">
        <v>10000</v>
      </c>
      <c r="D43" s="37"/>
      <c r="E43" s="21"/>
      <c r="F43" s="21"/>
    </row>
    <row r="44" spans="1:6" ht="15" thickBot="1" x14ac:dyDescent="0.35">
      <c r="A44" s="40" t="s">
        <v>39</v>
      </c>
      <c r="B44" s="40"/>
      <c r="C44" s="41">
        <f>SUM(C27:C43)</f>
        <v>51002.350617283962</v>
      </c>
      <c r="D44" s="42"/>
      <c r="E44" s="131"/>
      <c r="F44" s="131"/>
    </row>
    <row r="45" spans="1:6" ht="15" thickTop="1" x14ac:dyDescent="0.3">
      <c r="C45" s="36"/>
      <c r="D45" s="37"/>
      <c r="E45" s="21"/>
      <c r="F45" s="21"/>
    </row>
    <row r="46" spans="1:6" x14ac:dyDescent="0.3">
      <c r="A46" s="45" t="s">
        <v>40</v>
      </c>
      <c r="C46" s="36"/>
      <c r="D46" s="37"/>
      <c r="E46" s="21"/>
      <c r="F46" s="21"/>
    </row>
    <row r="47" spans="1:6" x14ac:dyDescent="0.3">
      <c r="A47" t="s">
        <v>41</v>
      </c>
      <c r="B47">
        <v>13001</v>
      </c>
      <c r="C47" s="36">
        <v>2177.7777777777778</v>
      </c>
      <c r="D47" s="37"/>
      <c r="E47" s="21"/>
      <c r="F47" s="21"/>
    </row>
    <row r="48" spans="1:6" x14ac:dyDescent="0.3">
      <c r="A48" t="s">
        <v>42</v>
      </c>
      <c r="B48">
        <v>13002</v>
      </c>
      <c r="C48" s="36">
        <v>1016.2962962962962</v>
      </c>
      <c r="D48" s="37"/>
      <c r="E48" s="21"/>
      <c r="F48" s="21"/>
    </row>
    <row r="49" spans="1:6" ht="15" thickBot="1" x14ac:dyDescent="0.35">
      <c r="A49" s="40" t="s">
        <v>43</v>
      </c>
      <c r="B49" s="40"/>
      <c r="C49" s="41">
        <f>SUM(C47:C48)</f>
        <v>3194.0740740740739</v>
      </c>
      <c r="D49" s="42"/>
      <c r="E49" s="131"/>
      <c r="F49" s="131"/>
    </row>
    <row r="50" spans="1:6" ht="15" thickTop="1" x14ac:dyDescent="0.3">
      <c r="C50" s="36"/>
      <c r="D50" s="37"/>
      <c r="E50" s="21"/>
      <c r="F50" s="21"/>
    </row>
    <row r="51" spans="1:6" ht="15" thickBot="1" x14ac:dyDescent="0.35">
      <c r="A51" s="40" t="s">
        <v>45</v>
      </c>
      <c r="B51" s="40"/>
      <c r="C51" s="41">
        <f>SUM(C49,C44,C24,C11)</f>
        <v>99131.32510288067</v>
      </c>
      <c r="D51" s="42"/>
      <c r="E51" s="131"/>
      <c r="F51" s="131"/>
    </row>
    <row r="52" spans="1:6" ht="15" thickTop="1" x14ac:dyDescent="0.3">
      <c r="C52" s="36"/>
      <c r="D52" s="37"/>
      <c r="E52" s="21"/>
      <c r="F52" s="21"/>
    </row>
    <row r="53" spans="1:6" x14ac:dyDescent="0.3">
      <c r="A53" s="45" t="s">
        <v>46</v>
      </c>
      <c r="C53" s="36"/>
      <c r="D53" s="37"/>
      <c r="E53" s="21"/>
      <c r="F53" s="21"/>
    </row>
    <row r="54" spans="1:6" x14ac:dyDescent="0.3">
      <c r="A54" t="s">
        <v>47</v>
      </c>
      <c r="B54">
        <v>13201</v>
      </c>
      <c r="C54" s="36">
        <v>10000</v>
      </c>
      <c r="D54" s="37"/>
      <c r="E54" s="21"/>
      <c r="F54" s="21"/>
    </row>
    <row r="55" spans="1:6" x14ac:dyDescent="0.3">
      <c r="A55" t="s">
        <v>48</v>
      </c>
      <c r="B55">
        <v>13202</v>
      </c>
      <c r="C55" s="36">
        <v>4666.666666666667</v>
      </c>
      <c r="D55" s="37"/>
      <c r="E55" s="21"/>
      <c r="F55" s="21"/>
    </row>
    <row r="56" spans="1:6" x14ac:dyDescent="0.3">
      <c r="A56" t="s">
        <v>49</v>
      </c>
      <c r="B56">
        <v>13203</v>
      </c>
      <c r="C56" s="36">
        <v>2177.7777777777778</v>
      </c>
      <c r="D56" s="37"/>
      <c r="E56" s="21"/>
      <c r="F56" s="21"/>
    </row>
    <row r="57" spans="1:6" x14ac:dyDescent="0.3">
      <c r="A57" t="s">
        <v>50</v>
      </c>
      <c r="B57">
        <v>13204</v>
      </c>
      <c r="C57" s="36">
        <v>1016.2962962962962</v>
      </c>
      <c r="D57" s="37"/>
      <c r="E57" s="21"/>
      <c r="F57" s="21"/>
    </row>
    <row r="58" spans="1:6" x14ac:dyDescent="0.3">
      <c r="A58" t="s">
        <v>51</v>
      </c>
      <c r="B58">
        <v>13205</v>
      </c>
      <c r="C58" s="38">
        <v>474.27160493827154</v>
      </c>
      <c r="D58" s="39"/>
      <c r="E58" s="21"/>
      <c r="F58" s="21"/>
    </row>
    <row r="59" spans="1:6" x14ac:dyDescent="0.3">
      <c r="A59" t="s">
        <v>52</v>
      </c>
      <c r="B59">
        <v>13206</v>
      </c>
      <c r="C59" s="38">
        <v>221.32674897119338</v>
      </c>
      <c r="D59" s="39"/>
      <c r="E59" s="21"/>
      <c r="F59" s="21"/>
    </row>
    <row r="60" spans="1:6" x14ac:dyDescent="0.3">
      <c r="A60" t="s">
        <v>53</v>
      </c>
      <c r="B60">
        <v>13207</v>
      </c>
      <c r="C60" s="38">
        <v>10000</v>
      </c>
      <c r="D60" s="39"/>
      <c r="E60" s="21"/>
      <c r="F60" s="21"/>
    </row>
    <row r="61" spans="1:6" x14ac:dyDescent="0.3">
      <c r="A61" t="s">
        <v>54</v>
      </c>
      <c r="B61">
        <v>13208</v>
      </c>
      <c r="C61" s="38">
        <v>4666.666666666667</v>
      </c>
      <c r="D61" s="39"/>
      <c r="E61" s="21"/>
      <c r="F61" s="21"/>
    </row>
    <row r="62" spans="1:6" ht="15" thickBot="1" x14ac:dyDescent="0.35">
      <c r="A62" s="40" t="s">
        <v>55</v>
      </c>
      <c r="B62" s="40"/>
      <c r="C62" s="41">
        <f>SUM(C54:C61)</f>
        <v>33223.005761316876</v>
      </c>
      <c r="D62" s="42"/>
      <c r="E62" s="131"/>
      <c r="F62" s="131"/>
    </row>
    <row r="63" spans="1:6" ht="15" thickTop="1" x14ac:dyDescent="0.3">
      <c r="C63" s="38"/>
      <c r="D63" s="39"/>
      <c r="E63" s="21"/>
      <c r="F63" s="21"/>
    </row>
    <row r="64" spans="1:6" ht="15" thickBot="1" x14ac:dyDescent="0.35">
      <c r="A64" s="40" t="s">
        <v>57</v>
      </c>
      <c r="B64" s="40"/>
      <c r="C64" s="41">
        <f>C51-C62</f>
        <v>65908.319341563794</v>
      </c>
      <c r="D64" s="42"/>
      <c r="E64" s="131"/>
      <c r="F64" s="131"/>
    </row>
    <row r="65" spans="1:6" ht="15" thickTop="1" x14ac:dyDescent="0.3">
      <c r="C65" s="38"/>
      <c r="D65" s="39"/>
      <c r="E65" s="21"/>
      <c r="F65" s="21"/>
    </row>
    <row r="66" spans="1:6" x14ac:dyDescent="0.3">
      <c r="A66" t="s">
        <v>59</v>
      </c>
      <c r="C66" s="38">
        <f>'Tax Rates'!L24</f>
        <v>0.26500000000000001</v>
      </c>
      <c r="D66" s="39"/>
      <c r="E66" s="21"/>
      <c r="F66" s="21"/>
    </row>
    <row r="67" spans="1:6" x14ac:dyDescent="0.3">
      <c r="C67" s="38"/>
      <c r="D67" s="39"/>
      <c r="E67" s="21"/>
      <c r="F67" s="21"/>
    </row>
    <row r="68" spans="1:6" ht="15" thickBot="1" x14ac:dyDescent="0.35">
      <c r="A68" s="40" t="s">
        <v>61</v>
      </c>
      <c r="B68" s="40"/>
      <c r="C68" s="41">
        <f>C66*C64</f>
        <v>17465.704625514405</v>
      </c>
      <c r="D68" s="42"/>
      <c r="E68" s="131"/>
      <c r="F68" s="131"/>
    </row>
    <row r="69" spans="1:6" ht="15" thickTop="1" x14ac:dyDescent="0.3">
      <c r="C69" s="38"/>
      <c r="D69" s="39"/>
      <c r="E69" s="21"/>
      <c r="F69" s="21"/>
    </row>
    <row r="70" spans="1:6" x14ac:dyDescent="0.3">
      <c r="A70" s="45" t="s">
        <v>62</v>
      </c>
      <c r="C70" s="38"/>
      <c r="D70" s="39"/>
      <c r="E70" s="21"/>
      <c r="F70" s="21"/>
    </row>
    <row r="71" spans="1:6" x14ac:dyDescent="0.3">
      <c r="A71" t="s">
        <v>63</v>
      </c>
      <c r="B71">
        <v>13401</v>
      </c>
      <c r="C71" s="38">
        <v>10000</v>
      </c>
      <c r="D71" s="39"/>
      <c r="E71" s="21"/>
      <c r="F71" s="21"/>
    </row>
    <row r="72" spans="1:6" x14ac:dyDescent="0.3">
      <c r="A72" t="s">
        <v>64</v>
      </c>
      <c r="B72">
        <v>13402</v>
      </c>
      <c r="C72" s="38">
        <v>4666.666666666667</v>
      </c>
      <c r="D72" s="39"/>
      <c r="E72" s="21"/>
      <c r="F72" s="21"/>
    </row>
    <row r="73" spans="1:6" x14ac:dyDescent="0.3">
      <c r="A73" t="s">
        <v>65</v>
      </c>
      <c r="B73">
        <v>13403</v>
      </c>
      <c r="C73" s="38">
        <v>2177.7777777777778</v>
      </c>
      <c r="D73" s="39"/>
      <c r="E73" s="21"/>
      <c r="F73" s="21"/>
    </row>
    <row r="74" spans="1:6" x14ac:dyDescent="0.3">
      <c r="A74" t="s">
        <v>66</v>
      </c>
      <c r="B74">
        <v>13404</v>
      </c>
      <c r="C74" s="38">
        <v>1016.2962962962962</v>
      </c>
      <c r="D74" s="39"/>
      <c r="E74" s="21"/>
      <c r="F74" s="21"/>
    </row>
    <row r="75" spans="1:6" x14ac:dyDescent="0.3">
      <c r="A75" t="s">
        <v>67</v>
      </c>
      <c r="B75">
        <v>13405</v>
      </c>
      <c r="C75" s="38">
        <v>474.27160493827154</v>
      </c>
      <c r="D75" s="39"/>
      <c r="E75" s="21"/>
      <c r="F75" s="21"/>
    </row>
    <row r="76" spans="1:6" x14ac:dyDescent="0.3">
      <c r="A76" t="s">
        <v>68</v>
      </c>
      <c r="B76">
        <v>13406</v>
      </c>
      <c r="C76" s="38">
        <v>221.32674897119338</v>
      </c>
      <c r="D76" s="39"/>
      <c r="E76" s="21"/>
      <c r="F76" s="21"/>
    </row>
    <row r="77" spans="1:6" x14ac:dyDescent="0.3">
      <c r="A77" t="s">
        <v>69</v>
      </c>
      <c r="B77">
        <v>13407</v>
      </c>
      <c r="C77" s="38">
        <v>10000</v>
      </c>
      <c r="D77" s="39"/>
      <c r="E77" s="21"/>
      <c r="F77" s="21"/>
    </row>
    <row r="78" spans="1:6" ht="15" thickBot="1" x14ac:dyDescent="0.35">
      <c r="A78" s="40" t="s">
        <v>70</v>
      </c>
      <c r="B78" s="40"/>
      <c r="C78" s="41">
        <f>SUM(C71:C77)</f>
        <v>28556.339094650208</v>
      </c>
      <c r="D78" s="42"/>
      <c r="E78" s="131"/>
      <c r="F78" s="131"/>
    </row>
    <row r="79" spans="1:6" ht="15" thickTop="1" x14ac:dyDescent="0.3">
      <c r="C79" s="38"/>
      <c r="D79" s="39"/>
      <c r="E79" s="21"/>
      <c r="F79" s="21"/>
    </row>
    <row r="80" spans="1:6" x14ac:dyDescent="0.3">
      <c r="A80" t="s">
        <v>341</v>
      </c>
      <c r="C80" s="38">
        <f>SUM(C78,C68)</f>
        <v>46022.043720164613</v>
      </c>
      <c r="D80" s="39"/>
      <c r="E80" s="21"/>
      <c r="F80" s="21"/>
    </row>
    <row r="81" spans="1:6" x14ac:dyDescent="0.3">
      <c r="A81" t="s">
        <v>73</v>
      </c>
      <c r="B81">
        <v>13501</v>
      </c>
      <c r="C81" s="38">
        <v>1016.2962962962962</v>
      </c>
      <c r="D81" s="39"/>
      <c r="E81" s="132"/>
      <c r="F81" s="21"/>
    </row>
    <row r="82" spans="1:6" ht="15" thickBot="1" x14ac:dyDescent="0.35">
      <c r="A82" s="40" t="s">
        <v>74</v>
      </c>
      <c r="B82" s="40"/>
      <c r="C82" s="41">
        <f>C81-C80</f>
        <v>-45005.747423868313</v>
      </c>
      <c r="D82" s="42"/>
      <c r="E82" s="131"/>
      <c r="F82" s="131"/>
    </row>
    <row r="83" spans="1:6" ht="15" thickTop="1" x14ac:dyDescent="0.3">
      <c r="C83" s="38"/>
      <c r="D83" s="39"/>
    </row>
  </sheetData>
  <mergeCells count="1">
    <mergeCell ref="E6:F6"/>
  </mergeCells>
  <conditionalFormatting sqref="E7:F83">
    <cfRule type="expression" dxfId="294" priority="55">
      <formula>$A7&lt;&gt;""</formula>
    </cfRule>
  </conditionalFormatting>
  <conditionalFormatting sqref="E6:F6">
    <cfRule type="expression" dxfId="293" priority="56">
      <formula>$A1&lt;&gt;""</formula>
    </cfRule>
  </conditionalFormatting>
  <conditionalFormatting sqref="E1:F5">
    <cfRule type="expression" dxfId="292" priority="57">
      <formula>#REF!&lt;&gt;""</formula>
    </cfRule>
  </conditionalFormatting>
  <conditionalFormatting sqref="D1:F5">
    <cfRule type="expression" dxfId="291" priority="75">
      <formula>#REF! = 13500</formula>
    </cfRule>
    <cfRule type="expression" dxfId="290" priority="76">
      <formula>#REF! = 13499</formula>
    </cfRule>
    <cfRule type="expression" dxfId="289" priority="77">
      <formula>#REF! = 13302</formula>
    </cfRule>
    <cfRule type="expression" dxfId="288" priority="78">
      <formula>#REF! = "Other"</formula>
    </cfRule>
    <cfRule type="expression" dxfId="287" priority="79">
      <formula>#REF! = "Difference"</formula>
    </cfRule>
    <cfRule type="expression" dxfId="286" priority="80">
      <formula>#REF! = "Net Operating Losses"</formula>
    </cfRule>
    <cfRule type="expression" dxfId="285" priority="81">
      <formula>#REF! = "Temporary Items"</formula>
    </cfRule>
    <cfRule type="expression" dxfId="284" priority="82">
      <formula>#REF! = "Permanent Items"</formula>
    </cfRule>
    <cfRule type="expression" dxfId="283" priority="83">
      <formula>#REF! = 13300</formula>
    </cfRule>
    <cfRule type="expression" dxfId="282" priority="84">
      <formula>#REF! = 13299</formula>
    </cfRule>
    <cfRule type="expression" dxfId="281" priority="85">
      <formula>#REF! = 13103</formula>
    </cfRule>
    <cfRule type="expression" dxfId="280" priority="86">
      <formula>#REF! = 13101</formula>
    </cfRule>
    <cfRule type="expression" dxfId="279" priority="87">
      <formula>#REF! = 13100</formula>
    </cfRule>
    <cfRule type="expression" dxfId="278" priority="88">
      <formula>#REF! = 13010</formula>
    </cfRule>
    <cfRule type="expression" dxfId="277" priority="89">
      <formula>#REF! = 12999</formula>
    </cfRule>
    <cfRule type="expression" dxfId="276" priority="90">
      <formula>#REF! = 11999</formula>
    </cfRule>
    <cfRule type="expression" dxfId="275" priority="91">
      <formula>#REF! = 10999</formula>
    </cfRule>
  </conditionalFormatting>
  <conditionalFormatting sqref="A1:C5 A7:F83">
    <cfRule type="expression" dxfId="274" priority="92">
      <formula>$A1 = 13500</formula>
    </cfRule>
    <cfRule type="expression" dxfId="273" priority="93">
      <formula>$A1 = 13499</formula>
    </cfRule>
    <cfRule type="expression" dxfId="272" priority="94">
      <formula>$A1 = 13302</formula>
    </cfRule>
    <cfRule type="expression" dxfId="271" priority="95">
      <formula>#REF! = "Other"</formula>
    </cfRule>
    <cfRule type="expression" dxfId="270" priority="96">
      <formula>#REF! = "Difference"</formula>
    </cfRule>
    <cfRule type="expression" dxfId="269" priority="97">
      <formula>#REF! = "Net Operating Losses"</formula>
    </cfRule>
    <cfRule type="expression" dxfId="268" priority="98">
      <formula>#REF! = "Temporary Items"</formula>
    </cfRule>
    <cfRule type="expression" dxfId="267" priority="99">
      <formula>#REF! = "Permanent Items"</formula>
    </cfRule>
    <cfRule type="expression" dxfId="266" priority="100">
      <formula>$A1 = 13300</formula>
    </cfRule>
    <cfRule type="expression" dxfId="265" priority="101">
      <formula>$A1 = 13299</formula>
    </cfRule>
    <cfRule type="expression" dxfId="264" priority="102">
      <formula>$A1 = 13103</formula>
    </cfRule>
    <cfRule type="expression" dxfId="263" priority="103">
      <formula>$A1 = 13101</formula>
    </cfRule>
    <cfRule type="expression" dxfId="262" priority="104">
      <formula>$A1 = 13100</formula>
    </cfRule>
    <cfRule type="expression" dxfId="261" priority="105">
      <formula>$A1 = 13010</formula>
    </cfRule>
    <cfRule type="expression" dxfId="260" priority="106">
      <formula>$A1 = 12999</formula>
    </cfRule>
    <cfRule type="expression" dxfId="259" priority="107">
      <formula>$A1 = 11999</formula>
    </cfRule>
    <cfRule type="expression" dxfId="258" priority="108">
      <formula>$A1 = 10999</formula>
    </cfRule>
  </conditionalFormatting>
  <conditionalFormatting sqref="D6:F6">
    <cfRule type="expression" dxfId="257" priority="160">
      <formula>$A1 = 13500</formula>
    </cfRule>
    <cfRule type="expression" dxfId="256" priority="161">
      <formula>$A1 = 13499</formula>
    </cfRule>
    <cfRule type="expression" dxfId="255" priority="162">
      <formula>$A1 = 13302</formula>
    </cfRule>
    <cfRule type="expression" dxfId="254" priority="163">
      <formula>#REF! = "Other"</formula>
    </cfRule>
    <cfRule type="expression" dxfId="253" priority="164">
      <formula>#REF! = "Difference"</formula>
    </cfRule>
    <cfRule type="expression" dxfId="252" priority="165">
      <formula>#REF! = "Net Operating Losses"</formula>
    </cfRule>
    <cfRule type="expression" dxfId="251" priority="166">
      <formula>#REF! = "Temporary Items"</formula>
    </cfRule>
    <cfRule type="expression" dxfId="250" priority="167">
      <formula>#REF! = "Permanent Items"</formula>
    </cfRule>
    <cfRule type="expression" dxfId="249" priority="168">
      <formula>$A1 = 13300</formula>
    </cfRule>
    <cfRule type="expression" dxfId="248" priority="169">
      <formula>$A1 = 13299</formula>
    </cfRule>
    <cfRule type="expression" dxfId="247" priority="170">
      <formula>$A1 = 13103</formula>
    </cfRule>
    <cfRule type="expression" dxfId="246" priority="171">
      <formula>$A1 = 13101</formula>
    </cfRule>
    <cfRule type="expression" dxfId="245" priority="172">
      <formula>$A1 = 13100</formula>
    </cfRule>
    <cfRule type="expression" dxfId="244" priority="173">
      <formula>$A1 = 13010</formula>
    </cfRule>
    <cfRule type="expression" dxfId="243" priority="174">
      <formula>$A1 = 12999</formula>
    </cfRule>
    <cfRule type="expression" dxfId="242" priority="175">
      <formula>$A1 = 11999</formula>
    </cfRule>
    <cfRule type="expression" dxfId="241" priority="176">
      <formula>$A1 = 10999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D7C1-357D-4372-ACF2-9C8BCD5CFB64}">
  <sheetPr codeName="Sheet15">
    <pageSetUpPr fitToPage="1"/>
  </sheetPr>
  <dimension ref="A1:T47"/>
  <sheetViews>
    <sheetView showGridLines="0" workbookViewId="0">
      <selection activeCell="N11" sqref="N11"/>
    </sheetView>
  </sheetViews>
  <sheetFormatPr defaultRowHeight="13.2" x14ac:dyDescent="0.25"/>
  <cols>
    <col min="1" max="1" width="27" style="46" bestFit="1" customWidth="1"/>
    <col min="2" max="2" width="10.33203125" style="46" customWidth="1"/>
    <col min="3" max="3" width="16.6640625" style="46" bestFit="1" customWidth="1"/>
    <col min="4" max="4" width="11.33203125" style="46" bestFit="1" customWidth="1"/>
    <col min="5" max="5" width="8.88671875" style="46"/>
    <col min="6" max="6" width="10.33203125" style="46" bestFit="1" customWidth="1"/>
    <col min="7" max="7" width="14.44140625" style="46" bestFit="1" customWidth="1"/>
    <col min="8" max="12" width="11.33203125" style="46" customWidth="1"/>
    <col min="13" max="13" width="13.44140625" style="46" bestFit="1" customWidth="1"/>
    <col min="14" max="14" width="11" style="46" customWidth="1"/>
    <col min="15" max="15" width="10.33203125" style="46" bestFit="1" customWidth="1"/>
    <col min="16" max="16" width="13" style="46" customWidth="1"/>
    <col min="17" max="18" width="8.88671875" style="46"/>
    <col min="19" max="19" width="11.33203125" style="46" bestFit="1" customWidth="1"/>
    <col min="20" max="16384" width="8.88671875" style="46"/>
  </cols>
  <sheetData>
    <row r="1" spans="1:19" ht="13.8" thickBot="1" x14ac:dyDescent="0.3">
      <c r="H1" s="48"/>
    </row>
    <row r="2" spans="1:19" ht="13.8" thickBot="1" x14ac:dyDescent="0.3">
      <c r="D2" s="136" t="s">
        <v>301</v>
      </c>
      <c r="E2" s="137"/>
      <c r="F2" s="137"/>
      <c r="G2" s="138"/>
      <c r="H2" s="49"/>
      <c r="I2" s="50" t="s">
        <v>302</v>
      </c>
      <c r="J2" s="50"/>
      <c r="K2" s="50"/>
      <c r="L2" s="51"/>
      <c r="N2" s="52"/>
      <c r="O2" s="52"/>
      <c r="P2" s="52"/>
      <c r="Q2" s="52"/>
      <c r="R2" s="52"/>
      <c r="S2" s="52"/>
    </row>
    <row r="3" spans="1:19" x14ac:dyDescent="0.25">
      <c r="A3" s="53" t="s">
        <v>303</v>
      </c>
      <c r="B3" s="54" t="s">
        <v>304</v>
      </c>
      <c r="C3" s="54" t="s">
        <v>305</v>
      </c>
      <c r="D3" s="55">
        <v>2020</v>
      </c>
      <c r="E3" s="56">
        <v>2021</v>
      </c>
      <c r="F3" s="56">
        <v>2022</v>
      </c>
      <c r="G3" s="56">
        <v>2023</v>
      </c>
      <c r="H3" s="57">
        <v>2020</v>
      </c>
      <c r="I3" s="54">
        <v>2021</v>
      </c>
      <c r="J3" s="54">
        <v>2022</v>
      </c>
      <c r="K3" s="54">
        <v>2023</v>
      </c>
      <c r="L3" s="58" t="s">
        <v>306</v>
      </c>
      <c r="M3" s="59"/>
      <c r="N3" s="52"/>
      <c r="O3" s="52"/>
      <c r="P3" s="52"/>
      <c r="Q3" s="52"/>
      <c r="R3" s="52"/>
      <c r="S3" s="52"/>
    </row>
    <row r="4" spans="1:19" ht="14.4" x14ac:dyDescent="0.3">
      <c r="A4" s="46" t="s">
        <v>307</v>
      </c>
      <c r="B4" s="60">
        <v>1</v>
      </c>
      <c r="C4" s="61"/>
      <c r="D4" s="62">
        <v>0.15</v>
      </c>
      <c r="E4" s="63">
        <v>0.15</v>
      </c>
      <c r="F4" s="63">
        <v>0.15</v>
      </c>
      <c r="G4" s="63">
        <v>0.15</v>
      </c>
      <c r="H4" s="64">
        <f>D4*B4</f>
        <v>0.15</v>
      </c>
      <c r="I4" s="65">
        <f>E4*$B$4</f>
        <v>0.15</v>
      </c>
      <c r="J4" s="65">
        <f>F4*$B$4</f>
        <v>0.15</v>
      </c>
      <c r="K4" s="65">
        <f>G4*$B$4</f>
        <v>0.15</v>
      </c>
      <c r="L4" s="66">
        <f>AVERAGE(H4:K4)</f>
        <v>0.15</v>
      </c>
      <c r="M4" s="67"/>
      <c r="N4" s="52"/>
      <c r="O4" s="52"/>
      <c r="P4" s="52"/>
      <c r="Q4" s="52"/>
      <c r="R4" s="52"/>
      <c r="S4" s="52"/>
    </row>
    <row r="5" spans="1:19" ht="14.4" x14ac:dyDescent="0.3">
      <c r="A5" s="46" t="s">
        <v>308</v>
      </c>
      <c r="B5" s="60">
        <f>F39</f>
        <v>0</v>
      </c>
      <c r="C5" s="68">
        <v>0</v>
      </c>
      <c r="D5" s="69">
        <v>0.15</v>
      </c>
      <c r="E5" s="70">
        <v>0.15</v>
      </c>
      <c r="F5" s="71">
        <v>0.15</v>
      </c>
      <c r="G5" s="63">
        <v>0.15</v>
      </c>
      <c r="H5" s="72">
        <f>D5*B5</f>
        <v>0</v>
      </c>
      <c r="I5" s="65">
        <f>E5*$B$5</f>
        <v>0</v>
      </c>
      <c r="J5" s="65">
        <f>F5*B5</f>
        <v>0</v>
      </c>
      <c r="K5" s="65">
        <f>G5*B5</f>
        <v>0</v>
      </c>
      <c r="L5" s="66">
        <f t="shared" ref="L5:L21" si="0">AVERAGE(H5:K5)</f>
        <v>0</v>
      </c>
      <c r="M5" s="73"/>
      <c r="N5" s="52"/>
      <c r="O5" s="52"/>
      <c r="P5" s="52"/>
      <c r="Q5" s="52"/>
      <c r="R5" s="52"/>
      <c r="S5" s="52"/>
    </row>
    <row r="6" spans="1:19" ht="14.4" x14ac:dyDescent="0.3">
      <c r="A6" s="46" t="s">
        <v>309</v>
      </c>
      <c r="B6" s="61"/>
      <c r="C6" s="60">
        <v>0</v>
      </c>
      <c r="D6" s="69">
        <v>0.15</v>
      </c>
      <c r="E6" s="70">
        <v>0.15</v>
      </c>
      <c r="F6" s="71">
        <v>0.15</v>
      </c>
      <c r="G6" s="63">
        <v>0.15</v>
      </c>
      <c r="H6" s="72">
        <f t="shared" ref="H6:H10" si="1">D6*B6</f>
        <v>0</v>
      </c>
      <c r="I6" s="65">
        <f>E6*B6</f>
        <v>0</v>
      </c>
      <c r="J6" s="65">
        <f t="shared" ref="J6:J21" si="2">F6*B6</f>
        <v>0</v>
      </c>
      <c r="K6" s="65">
        <f t="shared" ref="K6:K21" si="3">G6*B6</f>
        <v>0</v>
      </c>
      <c r="L6" s="66">
        <f t="shared" si="0"/>
        <v>0</v>
      </c>
      <c r="M6" s="67"/>
      <c r="N6" s="52"/>
      <c r="O6" s="52"/>
      <c r="P6" s="52"/>
      <c r="Q6" s="52"/>
      <c r="R6" s="52"/>
      <c r="S6" s="52"/>
    </row>
    <row r="7" spans="1:19" ht="14.4" x14ac:dyDescent="0.3">
      <c r="A7" s="46" t="s">
        <v>310</v>
      </c>
      <c r="B7" s="60">
        <v>0</v>
      </c>
      <c r="C7" s="61"/>
      <c r="D7" s="62">
        <v>0.16</v>
      </c>
      <c r="E7" s="63">
        <v>0.16</v>
      </c>
      <c r="F7" s="63">
        <v>0.16</v>
      </c>
      <c r="G7" s="63">
        <v>0.16</v>
      </c>
      <c r="H7" s="72">
        <f t="shared" si="1"/>
        <v>0</v>
      </c>
      <c r="I7" s="65">
        <f>E7*B7</f>
        <v>0</v>
      </c>
      <c r="J7" s="65">
        <f t="shared" si="2"/>
        <v>0</v>
      </c>
      <c r="K7" s="65">
        <f t="shared" si="3"/>
        <v>0</v>
      </c>
      <c r="L7" s="66">
        <f t="shared" si="0"/>
        <v>0</v>
      </c>
      <c r="M7" s="67"/>
      <c r="N7" s="52"/>
      <c r="O7" s="52"/>
      <c r="P7" s="52"/>
      <c r="Q7" s="52"/>
      <c r="R7" s="52"/>
      <c r="S7" s="52"/>
    </row>
    <row r="8" spans="1:19" ht="14.4" x14ac:dyDescent="0.3">
      <c r="A8" s="46" t="s">
        <v>311</v>
      </c>
      <c r="B8" s="60">
        <f>F38</f>
        <v>0</v>
      </c>
      <c r="C8" s="61"/>
      <c r="D8" s="62">
        <f>((16%*91/366)+(14%*275/366))</f>
        <v>0.14497267759562843</v>
      </c>
      <c r="E8" s="63">
        <v>0.14000000000000001</v>
      </c>
      <c r="F8" s="63">
        <v>0.14000000000000001</v>
      </c>
      <c r="G8" s="63">
        <v>0.14000000000000001</v>
      </c>
      <c r="H8" s="72">
        <f t="shared" si="1"/>
        <v>0</v>
      </c>
      <c r="I8" s="65">
        <f t="shared" ref="I8:I21" si="4">E8*B8</f>
        <v>0</v>
      </c>
      <c r="J8" s="65">
        <f t="shared" si="2"/>
        <v>0</v>
      </c>
      <c r="K8" s="65">
        <f t="shared" si="3"/>
        <v>0</v>
      </c>
      <c r="L8" s="66">
        <f t="shared" si="0"/>
        <v>0</v>
      </c>
      <c r="M8" s="73"/>
      <c r="N8" s="52"/>
      <c r="O8" s="52"/>
      <c r="P8" s="52"/>
      <c r="Q8" s="52"/>
      <c r="R8" s="52"/>
      <c r="S8" s="52"/>
    </row>
    <row r="9" spans="1:19" ht="14.4" x14ac:dyDescent="0.3">
      <c r="A9" s="46" t="s">
        <v>312</v>
      </c>
      <c r="B9" s="60">
        <f>F40</f>
        <v>0</v>
      </c>
      <c r="C9" s="61"/>
      <c r="D9" s="62">
        <v>0.14000000000000001</v>
      </c>
      <c r="E9" s="63">
        <v>0.14000000000000001</v>
      </c>
      <c r="F9" s="63">
        <v>0.14000000000000001</v>
      </c>
      <c r="G9" s="63">
        <v>0.14000000000000001</v>
      </c>
      <c r="H9" s="72">
        <f t="shared" si="1"/>
        <v>0</v>
      </c>
      <c r="I9" s="65">
        <f t="shared" si="4"/>
        <v>0</v>
      </c>
      <c r="J9" s="65">
        <f t="shared" si="2"/>
        <v>0</v>
      </c>
      <c r="K9" s="65">
        <f t="shared" si="3"/>
        <v>0</v>
      </c>
      <c r="L9" s="66">
        <f t="shared" si="0"/>
        <v>0</v>
      </c>
      <c r="M9" s="73"/>
      <c r="N9" s="52"/>
      <c r="O9" s="52"/>
      <c r="P9" s="52"/>
      <c r="Q9" s="52"/>
      <c r="R9" s="52"/>
      <c r="S9" s="52"/>
    </row>
    <row r="10" spans="1:19" ht="14.4" x14ac:dyDescent="0.3">
      <c r="A10" s="46" t="s">
        <v>313</v>
      </c>
      <c r="B10" s="60">
        <f>F34</f>
        <v>0</v>
      </c>
      <c r="C10" s="61"/>
      <c r="D10" s="62">
        <v>0.115</v>
      </c>
      <c r="E10" s="63">
        <v>0.115</v>
      </c>
      <c r="F10" s="71">
        <v>0.115</v>
      </c>
      <c r="G10" s="63">
        <v>0.115</v>
      </c>
      <c r="H10" s="72">
        <f t="shared" si="1"/>
        <v>0</v>
      </c>
      <c r="I10" s="65">
        <f t="shared" si="4"/>
        <v>0</v>
      </c>
      <c r="J10" s="65">
        <f t="shared" si="2"/>
        <v>0</v>
      </c>
      <c r="K10" s="65">
        <f t="shared" si="3"/>
        <v>0</v>
      </c>
      <c r="L10" s="66">
        <f t="shared" si="0"/>
        <v>0</v>
      </c>
      <c r="M10" s="67"/>
      <c r="N10" s="52"/>
      <c r="O10" s="52"/>
      <c r="P10" s="52"/>
      <c r="Q10" s="52"/>
      <c r="R10" s="52"/>
      <c r="S10" s="52"/>
    </row>
    <row r="11" spans="1:19" ht="14.4" x14ac:dyDescent="0.3">
      <c r="A11" s="46" t="s">
        <v>314</v>
      </c>
      <c r="B11" s="60">
        <f>F33</f>
        <v>1</v>
      </c>
      <c r="C11" s="68">
        <v>0</v>
      </c>
      <c r="D11" s="62">
        <v>0.115</v>
      </c>
      <c r="E11" s="63">
        <v>0.115</v>
      </c>
      <c r="F11" s="63">
        <v>0.115</v>
      </c>
      <c r="G11" s="63">
        <v>0.115</v>
      </c>
      <c r="H11" s="72">
        <f>D11*B11</f>
        <v>0.115</v>
      </c>
      <c r="I11" s="65">
        <f t="shared" si="4"/>
        <v>0.115</v>
      </c>
      <c r="J11" s="65">
        <f t="shared" si="2"/>
        <v>0.115</v>
      </c>
      <c r="K11" s="65">
        <f t="shared" si="3"/>
        <v>0.115</v>
      </c>
      <c r="L11" s="66">
        <f t="shared" si="0"/>
        <v>0.115</v>
      </c>
      <c r="M11" s="74"/>
      <c r="N11" s="52"/>
      <c r="O11" s="52"/>
      <c r="P11" s="52"/>
      <c r="Q11" s="52"/>
      <c r="R11" s="52"/>
      <c r="S11" s="52"/>
    </row>
    <row r="12" spans="1:19" ht="14.4" x14ac:dyDescent="0.3">
      <c r="A12" s="46" t="s">
        <v>315</v>
      </c>
      <c r="B12" s="61"/>
      <c r="C12" s="60">
        <v>0</v>
      </c>
      <c r="D12" s="62">
        <v>0.1</v>
      </c>
      <c r="E12" s="63">
        <v>0.1</v>
      </c>
      <c r="F12" s="63">
        <v>0.1</v>
      </c>
      <c r="G12" s="63">
        <v>0.1</v>
      </c>
      <c r="H12" s="72">
        <f>D12*B12</f>
        <v>0</v>
      </c>
      <c r="I12" s="65">
        <f t="shared" si="4"/>
        <v>0</v>
      </c>
      <c r="J12" s="65">
        <f t="shared" si="2"/>
        <v>0</v>
      </c>
      <c r="K12" s="65">
        <f t="shared" si="3"/>
        <v>0</v>
      </c>
      <c r="L12" s="66">
        <f t="shared" si="0"/>
        <v>0</v>
      </c>
      <c r="M12" s="67"/>
      <c r="N12" s="52"/>
      <c r="O12" s="52"/>
      <c r="P12" s="52"/>
      <c r="Q12" s="52"/>
      <c r="R12" s="52"/>
      <c r="S12" s="52"/>
    </row>
    <row r="13" spans="1:19" ht="14.4" x14ac:dyDescent="0.3">
      <c r="A13" s="46" t="s">
        <v>316</v>
      </c>
      <c r="B13" s="60">
        <f>F35</f>
        <v>0</v>
      </c>
      <c r="C13" s="61"/>
      <c r="D13" s="62">
        <v>0.12</v>
      </c>
      <c r="E13" s="63">
        <v>0.12</v>
      </c>
      <c r="F13" s="63">
        <v>0.12</v>
      </c>
      <c r="G13" s="63">
        <v>0.12</v>
      </c>
      <c r="H13" s="72">
        <f t="shared" ref="H13:H21" si="5">D13*B13</f>
        <v>0</v>
      </c>
      <c r="I13" s="65">
        <f t="shared" si="4"/>
        <v>0</v>
      </c>
      <c r="J13" s="65">
        <f t="shared" si="2"/>
        <v>0</v>
      </c>
      <c r="K13" s="65">
        <f t="shared" si="3"/>
        <v>0</v>
      </c>
      <c r="L13" s="66">
        <f t="shared" si="0"/>
        <v>0</v>
      </c>
      <c r="M13" s="73"/>
      <c r="N13" s="67"/>
    </row>
    <row r="14" spans="1:19" ht="14.4" x14ac:dyDescent="0.3">
      <c r="A14" s="46" t="s">
        <v>317</v>
      </c>
      <c r="B14" s="60">
        <f>0</f>
        <v>0</v>
      </c>
      <c r="C14" s="68">
        <v>0</v>
      </c>
      <c r="D14" s="62">
        <v>0.12</v>
      </c>
      <c r="E14" s="63">
        <v>0.12</v>
      </c>
      <c r="F14" s="63">
        <v>0.12</v>
      </c>
      <c r="G14" s="63">
        <v>0.12</v>
      </c>
      <c r="H14" s="72">
        <f t="shared" si="5"/>
        <v>0</v>
      </c>
      <c r="I14" s="65">
        <f t="shared" si="4"/>
        <v>0</v>
      </c>
      <c r="J14" s="65">
        <f t="shared" si="2"/>
        <v>0</v>
      </c>
      <c r="K14" s="65">
        <f t="shared" si="3"/>
        <v>0</v>
      </c>
      <c r="L14" s="66">
        <f t="shared" si="0"/>
        <v>0</v>
      </c>
      <c r="M14" s="67"/>
      <c r="N14" s="67"/>
    </row>
    <row r="15" spans="1:19" ht="14.4" x14ac:dyDescent="0.3">
      <c r="A15" s="46" t="s">
        <v>318</v>
      </c>
      <c r="B15" s="61"/>
      <c r="C15" s="60">
        <v>0</v>
      </c>
      <c r="D15" s="62">
        <v>0.1</v>
      </c>
      <c r="E15" s="63">
        <v>0.1</v>
      </c>
      <c r="F15" s="63">
        <v>0.1</v>
      </c>
      <c r="G15" s="63">
        <v>0.1</v>
      </c>
      <c r="H15" s="72">
        <f t="shared" si="5"/>
        <v>0</v>
      </c>
      <c r="I15" s="65">
        <f t="shared" si="4"/>
        <v>0</v>
      </c>
      <c r="J15" s="65">
        <f t="shared" si="2"/>
        <v>0</v>
      </c>
      <c r="K15" s="65">
        <f t="shared" si="3"/>
        <v>0</v>
      </c>
      <c r="L15" s="66">
        <f t="shared" si="0"/>
        <v>0</v>
      </c>
      <c r="M15" s="67"/>
      <c r="N15" s="67"/>
    </row>
    <row r="16" spans="1:19" ht="14.4" x14ac:dyDescent="0.3">
      <c r="A16" s="46" t="s">
        <v>319</v>
      </c>
      <c r="B16" s="60">
        <f>F37</f>
        <v>0</v>
      </c>
      <c r="C16" s="61"/>
      <c r="D16" s="62">
        <v>0.1</v>
      </c>
      <c r="E16" s="63">
        <v>0.09</v>
      </c>
      <c r="F16" s="63">
        <v>0.08</v>
      </c>
      <c r="G16" s="63">
        <v>0.08</v>
      </c>
      <c r="H16" s="72">
        <f t="shared" si="5"/>
        <v>0</v>
      </c>
      <c r="I16" s="65">
        <f t="shared" si="4"/>
        <v>0</v>
      </c>
      <c r="J16" s="65">
        <f t="shared" si="2"/>
        <v>0</v>
      </c>
      <c r="K16" s="65">
        <f t="shared" si="3"/>
        <v>0</v>
      </c>
      <c r="L16" s="66">
        <f t="shared" si="0"/>
        <v>0</v>
      </c>
      <c r="M16" s="67"/>
      <c r="N16" s="67"/>
    </row>
    <row r="17" spans="1:16" ht="14.4" x14ac:dyDescent="0.3">
      <c r="A17" s="46" t="s">
        <v>320</v>
      </c>
      <c r="B17" s="75">
        <f>F36</f>
        <v>0</v>
      </c>
      <c r="C17" s="61"/>
      <c r="D17" s="76">
        <v>0.12</v>
      </c>
      <c r="E17" s="63">
        <v>0.12</v>
      </c>
      <c r="F17" s="63">
        <v>0.12</v>
      </c>
      <c r="G17" s="63">
        <v>0.12</v>
      </c>
      <c r="H17" s="72">
        <f t="shared" si="5"/>
        <v>0</v>
      </c>
      <c r="I17" s="65">
        <f t="shared" si="4"/>
        <v>0</v>
      </c>
      <c r="J17" s="65">
        <f t="shared" si="2"/>
        <v>0</v>
      </c>
      <c r="K17" s="65">
        <f t="shared" si="3"/>
        <v>0</v>
      </c>
      <c r="L17" s="66">
        <f t="shared" si="0"/>
        <v>0</v>
      </c>
      <c r="M17" s="73"/>
      <c r="N17" s="67"/>
    </row>
    <row r="18" spans="1:16" ht="12.75" customHeight="1" x14ac:dyDescent="0.3">
      <c r="A18" s="46" t="s">
        <v>321</v>
      </c>
      <c r="B18" s="60">
        <v>0</v>
      </c>
      <c r="C18" s="77">
        <v>0</v>
      </c>
      <c r="D18" s="76">
        <v>0.12</v>
      </c>
      <c r="E18" s="63">
        <v>0.12</v>
      </c>
      <c r="F18" s="63">
        <v>0.12</v>
      </c>
      <c r="G18" s="63">
        <v>0.12</v>
      </c>
      <c r="H18" s="72">
        <f t="shared" si="5"/>
        <v>0</v>
      </c>
      <c r="I18" s="65">
        <f t="shared" si="4"/>
        <v>0</v>
      </c>
      <c r="J18" s="65">
        <f t="shared" si="2"/>
        <v>0</v>
      </c>
      <c r="K18" s="65">
        <f t="shared" si="3"/>
        <v>0</v>
      </c>
      <c r="L18" s="66">
        <f>AVERAGE(H18:K18)</f>
        <v>0</v>
      </c>
      <c r="N18" s="67"/>
    </row>
    <row r="19" spans="1:16" ht="12.75" customHeight="1" x14ac:dyDescent="0.3">
      <c r="A19" s="46" t="s">
        <v>322</v>
      </c>
      <c r="B19" s="61"/>
      <c r="C19" s="60">
        <v>0</v>
      </c>
      <c r="D19" s="76">
        <v>2.5000000000000001E-2</v>
      </c>
      <c r="E19" s="63">
        <v>2.5000000000000001E-2</v>
      </c>
      <c r="F19" s="63">
        <v>2.5000000000000001E-2</v>
      </c>
      <c r="G19" s="63">
        <v>2.5000000000000001E-2</v>
      </c>
      <c r="H19" s="72">
        <f t="shared" si="5"/>
        <v>0</v>
      </c>
      <c r="I19" s="65">
        <f t="shared" si="4"/>
        <v>0</v>
      </c>
      <c r="J19" s="65">
        <f t="shared" si="2"/>
        <v>0</v>
      </c>
      <c r="K19" s="65">
        <f t="shared" si="3"/>
        <v>0</v>
      </c>
      <c r="L19" s="66">
        <f t="shared" si="0"/>
        <v>0</v>
      </c>
      <c r="N19" s="67"/>
    </row>
    <row r="20" spans="1:16" ht="12.75" customHeight="1" x14ac:dyDescent="0.3">
      <c r="A20" s="46" t="s">
        <v>323</v>
      </c>
      <c r="B20" s="60">
        <v>0</v>
      </c>
      <c r="C20" s="61"/>
      <c r="D20" s="76">
        <v>0.115</v>
      </c>
      <c r="E20" s="63">
        <v>0.115</v>
      </c>
      <c r="F20" s="63">
        <v>0.115</v>
      </c>
      <c r="G20" s="63">
        <v>0.115</v>
      </c>
      <c r="H20" s="72">
        <f t="shared" si="5"/>
        <v>0</v>
      </c>
      <c r="I20" s="65">
        <f t="shared" si="4"/>
        <v>0</v>
      </c>
      <c r="J20" s="65">
        <f t="shared" si="2"/>
        <v>0</v>
      </c>
      <c r="K20" s="65">
        <f t="shared" si="3"/>
        <v>0</v>
      </c>
      <c r="L20" s="66">
        <f>AVERAGE(H20:K20)</f>
        <v>0</v>
      </c>
      <c r="N20" s="67"/>
    </row>
    <row r="21" spans="1:16" ht="12.75" customHeight="1" x14ac:dyDescent="0.3">
      <c r="A21" s="46" t="s">
        <v>324</v>
      </c>
      <c r="B21" s="65">
        <v>0</v>
      </c>
      <c r="C21" s="61"/>
      <c r="D21" s="76">
        <v>0.12</v>
      </c>
      <c r="E21" s="63">
        <v>0.12</v>
      </c>
      <c r="F21" s="63">
        <v>0.12</v>
      </c>
      <c r="G21" s="63">
        <v>0.12</v>
      </c>
      <c r="H21" s="72">
        <f t="shared" si="5"/>
        <v>0</v>
      </c>
      <c r="I21" s="65">
        <f t="shared" si="4"/>
        <v>0</v>
      </c>
      <c r="J21" s="65">
        <f t="shared" si="2"/>
        <v>0</v>
      </c>
      <c r="K21" s="65">
        <f t="shared" si="3"/>
        <v>0</v>
      </c>
      <c r="L21" s="66">
        <f t="shared" si="0"/>
        <v>0</v>
      </c>
      <c r="N21" s="67"/>
    </row>
    <row r="22" spans="1:16" ht="12.75" customHeight="1" x14ac:dyDescent="0.3">
      <c r="A22" s="46" t="s">
        <v>325</v>
      </c>
      <c r="B22" s="78">
        <v>0</v>
      </c>
      <c r="C22" s="61"/>
      <c r="D22" s="79"/>
      <c r="E22" s="80"/>
      <c r="F22" s="80"/>
      <c r="G22" s="81"/>
      <c r="H22" s="82"/>
      <c r="I22" s="78"/>
      <c r="J22" s="78"/>
      <c r="K22" s="78"/>
      <c r="L22" s="83"/>
    </row>
    <row r="23" spans="1:16" x14ac:dyDescent="0.25">
      <c r="D23" s="84"/>
      <c r="H23" s="84"/>
      <c r="L23" s="85"/>
    </row>
    <row r="24" spans="1:16" ht="15" thickBot="1" x14ac:dyDescent="0.35">
      <c r="B24" s="86">
        <f>SUM(B5:B22)</f>
        <v>1</v>
      </c>
      <c r="D24" s="87"/>
      <c r="E24" s="88"/>
      <c r="F24" s="88"/>
      <c r="G24" s="88"/>
      <c r="H24" s="87"/>
      <c r="I24" s="89">
        <f>SUM(I4:I22)</f>
        <v>0.26500000000000001</v>
      </c>
      <c r="J24" s="89">
        <f>SUM(J4:J22)</f>
        <v>0.26500000000000001</v>
      </c>
      <c r="K24" s="89">
        <f>SUM(K4:K22)</f>
        <v>0.26500000000000001</v>
      </c>
      <c r="L24" s="90">
        <f>SUM(L4:L22)</f>
        <v>0.26500000000000001</v>
      </c>
      <c r="N24" s="91"/>
    </row>
    <row r="25" spans="1:16" ht="13.8" thickTop="1" x14ac:dyDescent="0.25"/>
    <row r="26" spans="1:16" ht="13.8" thickBot="1" x14ac:dyDescent="0.3">
      <c r="H26" s="92" t="s">
        <v>326</v>
      </c>
      <c r="I26" s="86">
        <f>L24</f>
        <v>0.26500000000000001</v>
      </c>
      <c r="L26" s="93"/>
    </row>
    <row r="27" spans="1:16" ht="13.8" thickTop="1" x14ac:dyDescent="0.25"/>
    <row r="28" spans="1:16" ht="15.6" x14ac:dyDescent="0.25">
      <c r="A28" s="94"/>
      <c r="B28" s="95"/>
    </row>
    <row r="29" spans="1:16" ht="15.6" x14ac:dyDescent="0.25">
      <c r="A29" s="94"/>
      <c r="B29" s="139"/>
      <c r="C29" s="139"/>
      <c r="D29" s="139"/>
      <c r="E29" s="139"/>
      <c r="F29" s="139"/>
      <c r="G29" s="139"/>
      <c r="H29" s="139"/>
      <c r="I29" s="139"/>
      <c r="J29" s="139"/>
      <c r="K29" s="139"/>
    </row>
    <row r="30" spans="1:16" ht="13.8" thickBot="1" x14ac:dyDescent="0.3">
      <c r="B30" s="47" t="s">
        <v>327</v>
      </c>
    </row>
    <row r="31" spans="1:16" x14ac:dyDescent="0.25">
      <c r="A31" s="96"/>
      <c r="B31" s="97" t="s">
        <v>328</v>
      </c>
      <c r="C31" s="98" t="s">
        <v>329</v>
      </c>
      <c r="D31" s="99" t="s">
        <v>330</v>
      </c>
      <c r="E31" s="98" t="s">
        <v>329</v>
      </c>
      <c r="F31" s="100" t="s">
        <v>331</v>
      </c>
      <c r="G31" s="101"/>
      <c r="H31" s="102"/>
    </row>
    <row r="32" spans="1:16" x14ac:dyDescent="0.25">
      <c r="A32" s="103"/>
      <c r="B32" s="104"/>
      <c r="C32" s="105"/>
      <c r="D32" s="105"/>
      <c r="E32" s="105"/>
      <c r="F32" s="106"/>
      <c r="G32" s="105"/>
      <c r="H32" s="105"/>
      <c r="N32" s="52"/>
      <c r="O32" s="52"/>
      <c r="P32" s="107"/>
    </row>
    <row r="33" spans="1:20" ht="14.4" x14ac:dyDescent="0.3">
      <c r="A33" s="103" t="s">
        <v>332</v>
      </c>
      <c r="B33" s="108">
        <v>100</v>
      </c>
      <c r="C33" s="109">
        <f t="shared" ref="C33:C40" si="6">B33/$B$41</f>
        <v>1</v>
      </c>
      <c r="D33" s="110">
        <v>100</v>
      </c>
      <c r="E33" s="111">
        <f t="shared" ref="E33:E40" si="7">D33/$D$41</f>
        <v>1</v>
      </c>
      <c r="F33" s="112">
        <f>(+C33+E33)/2</f>
        <v>1</v>
      </c>
      <c r="G33" s="113" t="s">
        <v>333</v>
      </c>
      <c r="H33" s="105"/>
      <c r="N33" s="114"/>
      <c r="O33" s="115"/>
      <c r="P33" s="116"/>
      <c r="Q33" s="47"/>
    </row>
    <row r="34" spans="1:20" ht="14.4" x14ac:dyDescent="0.3">
      <c r="A34" s="103" t="s">
        <v>334</v>
      </c>
      <c r="B34" s="117">
        <v>0</v>
      </c>
      <c r="C34" s="118">
        <f t="shared" si="6"/>
        <v>0</v>
      </c>
      <c r="D34" s="119">
        <v>0</v>
      </c>
      <c r="E34" s="111">
        <f t="shared" si="7"/>
        <v>0</v>
      </c>
      <c r="F34" s="112">
        <f t="shared" ref="F34:F40" si="8">(+C34+E34)/2</f>
        <v>0</v>
      </c>
      <c r="G34" s="113"/>
      <c r="H34" s="105"/>
      <c r="N34" s="114"/>
      <c r="P34" s="116"/>
      <c r="Q34" s="47"/>
    </row>
    <row r="35" spans="1:20" ht="14.4" x14ac:dyDescent="0.3">
      <c r="A35" s="103" t="s">
        <v>335</v>
      </c>
      <c r="B35" s="117">
        <v>0</v>
      </c>
      <c r="C35" s="118">
        <f t="shared" si="6"/>
        <v>0</v>
      </c>
      <c r="D35" s="119">
        <v>0</v>
      </c>
      <c r="E35" s="111">
        <f t="shared" si="7"/>
        <v>0</v>
      </c>
      <c r="F35" s="112">
        <f t="shared" si="8"/>
        <v>0</v>
      </c>
      <c r="G35" s="113"/>
      <c r="H35" s="105"/>
      <c r="N35" s="114"/>
      <c r="P35" s="116"/>
      <c r="Q35" s="47"/>
    </row>
    <row r="36" spans="1:20" ht="15" thickBot="1" x14ac:dyDescent="0.35">
      <c r="A36" s="103" t="s">
        <v>336</v>
      </c>
      <c r="B36" s="117">
        <v>0</v>
      </c>
      <c r="C36" s="118">
        <f t="shared" si="6"/>
        <v>0</v>
      </c>
      <c r="D36" s="119">
        <v>0</v>
      </c>
      <c r="E36" s="111">
        <f t="shared" si="7"/>
        <v>0</v>
      </c>
      <c r="F36" s="112">
        <f t="shared" si="8"/>
        <v>0</v>
      </c>
      <c r="G36" s="113"/>
      <c r="H36" s="105"/>
      <c r="N36" s="114"/>
      <c r="P36" s="116"/>
      <c r="Q36" s="47"/>
    </row>
    <row r="37" spans="1:20" ht="14.4" x14ac:dyDescent="0.3">
      <c r="A37" s="103" t="s">
        <v>337</v>
      </c>
      <c r="B37" s="117">
        <v>0</v>
      </c>
      <c r="C37" s="118">
        <f t="shared" si="6"/>
        <v>0</v>
      </c>
      <c r="D37" s="119">
        <v>0</v>
      </c>
      <c r="E37" s="111">
        <f t="shared" si="7"/>
        <v>0</v>
      </c>
      <c r="F37" s="112">
        <f t="shared" si="8"/>
        <v>0</v>
      </c>
      <c r="G37" s="113"/>
      <c r="H37" s="105"/>
      <c r="N37" s="114"/>
      <c r="P37" s="116"/>
      <c r="Q37" s="47"/>
    </row>
    <row r="38" spans="1:20" ht="14.4" x14ac:dyDescent="0.3">
      <c r="A38" s="103" t="s">
        <v>338</v>
      </c>
      <c r="B38" s="117">
        <v>0</v>
      </c>
      <c r="C38" s="118">
        <f t="shared" si="6"/>
        <v>0</v>
      </c>
      <c r="D38" s="119">
        <v>0</v>
      </c>
      <c r="E38" s="111">
        <f t="shared" si="7"/>
        <v>0</v>
      </c>
      <c r="F38" s="112">
        <f t="shared" si="8"/>
        <v>0</v>
      </c>
      <c r="G38" s="91"/>
      <c r="H38" s="105"/>
      <c r="N38" s="114"/>
      <c r="P38" s="116"/>
      <c r="Q38" s="47"/>
    </row>
    <row r="39" spans="1:20" ht="14.4" x14ac:dyDescent="0.3">
      <c r="A39" s="103" t="s">
        <v>339</v>
      </c>
      <c r="B39" s="117">
        <v>0</v>
      </c>
      <c r="C39" s="118">
        <f t="shared" si="6"/>
        <v>0</v>
      </c>
      <c r="D39" s="119">
        <v>0</v>
      </c>
      <c r="E39" s="111">
        <f t="shared" si="7"/>
        <v>0</v>
      </c>
      <c r="F39" s="112">
        <f t="shared" si="8"/>
        <v>0</v>
      </c>
      <c r="G39" s="113"/>
      <c r="H39" s="105"/>
      <c r="N39" s="114"/>
      <c r="P39" s="116"/>
      <c r="Q39" s="47"/>
    </row>
    <row r="40" spans="1:20" ht="14.4" x14ac:dyDescent="0.3">
      <c r="A40" s="103" t="s">
        <v>340</v>
      </c>
      <c r="B40" s="120">
        <v>0</v>
      </c>
      <c r="C40" s="118">
        <f t="shared" si="6"/>
        <v>0</v>
      </c>
      <c r="D40" s="119">
        <v>0</v>
      </c>
      <c r="E40" s="111">
        <f t="shared" si="7"/>
        <v>0</v>
      </c>
      <c r="F40" s="112">
        <f t="shared" si="8"/>
        <v>0</v>
      </c>
      <c r="G40" s="113"/>
      <c r="H40" s="105"/>
      <c r="N40" s="114"/>
      <c r="P40" s="116"/>
      <c r="Q40" s="47"/>
    </row>
    <row r="41" spans="1:20" ht="15" thickBot="1" x14ac:dyDescent="0.35">
      <c r="A41" s="103" t="s">
        <v>298</v>
      </c>
      <c r="B41" s="121">
        <f>SUM(B33:B40)</f>
        <v>100</v>
      </c>
      <c r="C41" s="122">
        <f>SUM(C33:C40)</f>
        <v>1</v>
      </c>
      <c r="D41" s="123">
        <f>SUM(D33:D40)</f>
        <v>100</v>
      </c>
      <c r="E41" s="122">
        <f>SUM(E33:E40)</f>
        <v>1</v>
      </c>
      <c r="F41" s="124">
        <f>SUM(F33:F40)</f>
        <v>1</v>
      </c>
      <c r="G41" s="105"/>
      <c r="H41" s="105"/>
      <c r="M41" s="47"/>
      <c r="N41" s="114"/>
      <c r="O41" s="125"/>
      <c r="P41" s="116"/>
    </row>
    <row r="42" spans="1:20" ht="14.4" x14ac:dyDescent="0.3">
      <c r="N42" s="114"/>
    </row>
    <row r="43" spans="1:20" ht="14.4" x14ac:dyDescent="0.3">
      <c r="A43" s="103"/>
      <c r="N43" s="114"/>
      <c r="P43" s="116"/>
      <c r="Q43" s="47"/>
    </row>
    <row r="45" spans="1:20" ht="14.4" x14ac:dyDescent="0.3">
      <c r="S45" s="115"/>
      <c r="T45" s="47"/>
    </row>
    <row r="46" spans="1:20" x14ac:dyDescent="0.25">
      <c r="S46" s="116"/>
    </row>
    <row r="47" spans="1:20" x14ac:dyDescent="0.25">
      <c r="S47" s="116"/>
      <c r="T47" s="47"/>
    </row>
  </sheetData>
  <mergeCells count="2">
    <mergeCell ref="D2:G2"/>
    <mergeCell ref="B29:K29"/>
  </mergeCells>
  <pageMargins left="0.49" right="0.25" top="0.54" bottom="0.33" header="0.39" footer="0.17"/>
  <pageSetup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628-D9D8-4239-B760-55AC2A9AF0AD}">
  <sheetPr codeName="Sheet1"/>
  <dimension ref="A1:T97"/>
  <sheetViews>
    <sheetView zoomScale="110" zoomScaleNormal="110" workbookViewId="0">
      <selection activeCell="B8" sqref="B8"/>
    </sheetView>
  </sheetViews>
  <sheetFormatPr defaultRowHeight="14.4" x14ac:dyDescent="0.3"/>
  <cols>
    <col min="1" max="1" width="62.6640625" bestFit="1" customWidth="1"/>
    <col min="2" max="2" width="19.88671875" bestFit="1" customWidth="1"/>
    <col min="3" max="3" width="30.77734375" bestFit="1" customWidth="1"/>
    <col min="4" max="4" width="46.109375" bestFit="1" customWidth="1"/>
    <col min="5" max="5" width="4.109375" customWidth="1"/>
    <col min="6" max="6" width="19.44140625" bestFit="1" customWidth="1"/>
    <col min="7" max="7" width="30.77734375" bestFit="1" customWidth="1"/>
    <col min="9" max="9" width="17.77734375" bestFit="1" customWidth="1"/>
    <col min="10" max="10" width="26.5546875" bestFit="1" customWidth="1"/>
    <col min="12" max="12" width="14.77734375" bestFit="1" customWidth="1"/>
    <col min="13" max="13" width="20.5546875" bestFit="1" customWidth="1"/>
    <col min="14" max="14" width="21.6640625" bestFit="1" customWidth="1"/>
    <col min="15" max="15" width="56.33203125" bestFit="1" customWidth="1"/>
    <col min="16" max="16" width="36.6640625" bestFit="1" customWidth="1"/>
    <col min="17" max="17" width="12" bestFit="1" customWidth="1"/>
    <col min="18" max="18" width="29" bestFit="1" customWidth="1"/>
    <col min="19" max="19" width="12" bestFit="1" customWidth="1"/>
    <col min="20" max="20" width="26.21875" bestFit="1" customWidth="1"/>
  </cols>
  <sheetData>
    <row r="1" spans="1:20" x14ac:dyDescent="0.3">
      <c r="A1" s="126" t="s">
        <v>350</v>
      </c>
    </row>
    <row r="2" spans="1:20" x14ac:dyDescent="0.3">
      <c r="A2" s="19"/>
      <c r="I2" s="34"/>
    </row>
    <row r="3" spans="1:20" x14ac:dyDescent="0.3">
      <c r="A3" s="19"/>
      <c r="I3" s="34"/>
    </row>
    <row r="4" spans="1:20" x14ac:dyDescent="0.3">
      <c r="A4" s="19"/>
      <c r="I4" s="34"/>
      <c r="L4" t="s">
        <v>1</v>
      </c>
      <c r="M4" t="s">
        <v>2</v>
      </c>
      <c r="N4" t="s">
        <v>3</v>
      </c>
      <c r="O4" t="s">
        <v>109</v>
      </c>
      <c r="P4" t="s">
        <v>110</v>
      </c>
      <c r="Q4" t="s">
        <v>201</v>
      </c>
      <c r="R4" t="s">
        <v>203</v>
      </c>
      <c r="S4" t="s">
        <v>202</v>
      </c>
      <c r="T4" t="s">
        <v>204</v>
      </c>
    </row>
    <row r="5" spans="1:20" x14ac:dyDescent="0.3">
      <c r="A5" s="19"/>
      <c r="I5" s="34"/>
      <c r="L5" s="141">
        <v>10001</v>
      </c>
      <c r="M5" t="s">
        <v>4</v>
      </c>
      <c r="N5" t="s">
        <v>5</v>
      </c>
      <c r="O5" t="s">
        <v>6</v>
      </c>
      <c r="P5" s="142" t="s">
        <v>111</v>
      </c>
      <c r="Q5">
        <v>28000</v>
      </c>
      <c r="R5">
        <v>10000</v>
      </c>
      <c r="S5">
        <v>20000</v>
      </c>
      <c r="T5">
        <v>14000</v>
      </c>
    </row>
    <row r="6" spans="1:20" x14ac:dyDescent="0.3">
      <c r="A6" s="20"/>
      <c r="C6" s="34"/>
      <c r="D6" s="34"/>
      <c r="E6" s="34"/>
      <c r="F6" s="34"/>
      <c r="I6" s="134" t="s">
        <v>297</v>
      </c>
      <c r="J6" s="135"/>
      <c r="L6" s="141">
        <v>10002</v>
      </c>
      <c r="M6" t="s">
        <v>4</v>
      </c>
      <c r="N6" t="s">
        <v>5</v>
      </c>
      <c r="O6" t="s">
        <v>7</v>
      </c>
      <c r="P6" s="142" t="s">
        <v>112</v>
      </c>
      <c r="Q6">
        <v>13066.666666666666</v>
      </c>
      <c r="R6">
        <v>4666.666666666667</v>
      </c>
      <c r="S6">
        <v>9333.3333333333339</v>
      </c>
      <c r="T6">
        <v>6533.333333333333</v>
      </c>
    </row>
    <row r="7" spans="1:20" x14ac:dyDescent="0.3">
      <c r="C7" s="140" t="s">
        <v>346</v>
      </c>
      <c r="D7" s="140"/>
      <c r="E7" s="35"/>
      <c r="F7" s="135" t="s">
        <v>347</v>
      </c>
      <c r="G7" s="135"/>
      <c r="I7" s="34"/>
      <c r="L7" s="141">
        <v>10999</v>
      </c>
      <c r="M7" t="s">
        <v>4</v>
      </c>
      <c r="N7" t="s">
        <v>5</v>
      </c>
      <c r="O7" t="s">
        <v>8</v>
      </c>
      <c r="P7" s="142" t="s">
        <v>113</v>
      </c>
      <c r="Q7">
        <v>6097.7777777777774</v>
      </c>
      <c r="R7">
        <v>2177.7777777777778</v>
      </c>
      <c r="S7">
        <v>4355.5555555555557</v>
      </c>
      <c r="T7">
        <v>3048.8888888888887</v>
      </c>
    </row>
    <row r="8" spans="1:20" x14ac:dyDescent="0.3">
      <c r="B8" t="s">
        <v>343</v>
      </c>
      <c r="C8" s="35" t="s">
        <v>344</v>
      </c>
      <c r="D8" s="35" t="s">
        <v>345</v>
      </c>
      <c r="E8" s="35"/>
      <c r="F8" s="35" t="s">
        <v>349</v>
      </c>
      <c r="G8" s="35" t="s">
        <v>348</v>
      </c>
      <c r="H8" s="43"/>
      <c r="I8" s="35" t="s">
        <v>299</v>
      </c>
      <c r="J8" s="43" t="s">
        <v>300</v>
      </c>
      <c r="L8" s="141">
        <v>11001</v>
      </c>
      <c r="M8" t="s">
        <v>4</v>
      </c>
      <c r="N8" t="s">
        <v>9</v>
      </c>
      <c r="O8" t="s">
        <v>10</v>
      </c>
      <c r="P8" s="142" t="s">
        <v>114</v>
      </c>
      <c r="Q8">
        <v>2845.6296296296291</v>
      </c>
      <c r="R8">
        <v>1016.2962962962962</v>
      </c>
      <c r="S8">
        <v>2032.5925925925924</v>
      </c>
      <c r="T8">
        <v>1422.8148148148146</v>
      </c>
    </row>
    <row r="9" spans="1:20" x14ac:dyDescent="0.3">
      <c r="A9" t="s">
        <v>6</v>
      </c>
      <c r="B9">
        <v>10001</v>
      </c>
      <c r="C9" s="128">
        <v>20000</v>
      </c>
      <c r="D9" s="128">
        <v>14000</v>
      </c>
      <c r="E9" s="143"/>
      <c r="F9" s="143"/>
      <c r="G9" s="37"/>
      <c r="H9" s="37"/>
      <c r="I9" s="130"/>
      <c r="J9" s="21"/>
      <c r="L9" s="141">
        <v>11002</v>
      </c>
      <c r="M9" t="s">
        <v>4</v>
      </c>
      <c r="N9" t="s">
        <v>9</v>
      </c>
      <c r="O9" t="s">
        <v>11</v>
      </c>
      <c r="P9" s="142" t="s">
        <v>115</v>
      </c>
      <c r="Q9">
        <v>1327.9604938271602</v>
      </c>
      <c r="R9">
        <v>474.27160493827154</v>
      </c>
      <c r="S9">
        <v>948.54320987654307</v>
      </c>
      <c r="T9">
        <v>663.98024691358012</v>
      </c>
    </row>
    <row r="10" spans="1:20" x14ac:dyDescent="0.3">
      <c r="A10" t="s">
        <v>7</v>
      </c>
      <c r="B10">
        <v>10002</v>
      </c>
      <c r="C10" s="128">
        <v>9333.3333333333339</v>
      </c>
      <c r="D10" s="128">
        <v>6533.333333333333</v>
      </c>
      <c r="E10" s="143"/>
      <c r="F10" s="143"/>
      <c r="G10" s="37"/>
      <c r="H10" s="37"/>
      <c r="I10" s="21"/>
      <c r="J10" s="21"/>
      <c r="L10" s="141">
        <v>11003</v>
      </c>
      <c r="M10" t="s">
        <v>4</v>
      </c>
      <c r="N10" t="s">
        <v>9</v>
      </c>
      <c r="O10" t="s">
        <v>12</v>
      </c>
      <c r="P10" s="142" t="s">
        <v>116</v>
      </c>
      <c r="Q10">
        <v>619.71489711934146</v>
      </c>
      <c r="R10">
        <v>221.32674897119338</v>
      </c>
      <c r="S10">
        <v>442.65349794238676</v>
      </c>
      <c r="T10">
        <v>309.85744855967073</v>
      </c>
    </row>
    <row r="11" spans="1:20" ht="15" thickBot="1" x14ac:dyDescent="0.35">
      <c r="A11" s="40" t="s">
        <v>8</v>
      </c>
      <c r="B11" s="40"/>
      <c r="C11" s="41">
        <f>SUM(C9:C10)</f>
        <v>29333.333333333336</v>
      </c>
      <c r="D11" s="41">
        <f>SUM(D9:D10)</f>
        <v>20533.333333333332</v>
      </c>
      <c r="E11" s="144"/>
      <c r="F11" s="144"/>
      <c r="G11" s="42"/>
      <c r="H11" s="42"/>
      <c r="I11" s="131"/>
      <c r="J11" s="131"/>
      <c r="L11" s="141">
        <v>11004</v>
      </c>
      <c r="M11" t="s">
        <v>4</v>
      </c>
      <c r="N11" t="s">
        <v>9</v>
      </c>
      <c r="O11" t="s">
        <v>13</v>
      </c>
      <c r="P11" s="142" t="s">
        <v>117</v>
      </c>
      <c r="Q11">
        <v>28000</v>
      </c>
      <c r="R11">
        <v>10000</v>
      </c>
      <c r="S11">
        <v>20000</v>
      </c>
      <c r="T11">
        <v>14000</v>
      </c>
    </row>
    <row r="12" spans="1:20" ht="15" thickTop="1" x14ac:dyDescent="0.3">
      <c r="C12" s="128"/>
      <c r="D12" s="128"/>
      <c r="E12" s="143"/>
      <c r="F12" s="143"/>
      <c r="G12" s="37"/>
      <c r="H12" s="37"/>
      <c r="I12" s="21"/>
      <c r="J12" s="21"/>
      <c r="L12" s="141">
        <v>11005</v>
      </c>
      <c r="M12" t="s">
        <v>4</v>
      </c>
      <c r="N12" t="s">
        <v>9</v>
      </c>
      <c r="O12" t="s">
        <v>14</v>
      </c>
      <c r="P12" s="142" t="s">
        <v>118</v>
      </c>
      <c r="Q12">
        <v>13066.666666666666</v>
      </c>
      <c r="R12">
        <v>4666.666666666667</v>
      </c>
      <c r="S12">
        <v>9333.3333333333339</v>
      </c>
      <c r="T12">
        <v>6533.333333333333</v>
      </c>
    </row>
    <row r="13" spans="1:20" x14ac:dyDescent="0.3">
      <c r="A13" s="45" t="s">
        <v>9</v>
      </c>
      <c r="C13" s="128"/>
      <c r="D13" s="128"/>
      <c r="E13" s="143"/>
      <c r="F13" s="143"/>
      <c r="G13" s="37"/>
      <c r="H13" s="37"/>
      <c r="I13" s="21"/>
      <c r="J13" s="21"/>
      <c r="L13" s="141">
        <v>11006</v>
      </c>
      <c r="M13" t="s">
        <v>4</v>
      </c>
      <c r="N13" t="s">
        <v>9</v>
      </c>
      <c r="O13" t="s">
        <v>15</v>
      </c>
      <c r="P13" s="142" t="s">
        <v>119</v>
      </c>
      <c r="Q13">
        <v>6097.7777777777774</v>
      </c>
      <c r="R13">
        <v>2177.7777777777778</v>
      </c>
      <c r="S13">
        <v>4355.5555555555557</v>
      </c>
      <c r="T13">
        <v>3048.8888888888887</v>
      </c>
    </row>
    <row r="14" spans="1:20" x14ac:dyDescent="0.3">
      <c r="A14" t="s">
        <v>10</v>
      </c>
      <c r="B14">
        <v>11001</v>
      </c>
      <c r="C14" s="128">
        <v>2032.5925925925924</v>
      </c>
      <c r="D14" s="128">
        <v>1422.8148148148146</v>
      </c>
      <c r="E14" s="143"/>
      <c r="F14" s="143"/>
      <c r="G14" s="37"/>
      <c r="H14" s="37"/>
      <c r="I14" s="21"/>
      <c r="J14" s="21"/>
      <c r="L14" s="141">
        <v>11007</v>
      </c>
      <c r="M14" t="s">
        <v>4</v>
      </c>
      <c r="N14" t="s">
        <v>9</v>
      </c>
      <c r="O14" t="s">
        <v>16</v>
      </c>
      <c r="P14" s="142" t="s">
        <v>120</v>
      </c>
      <c r="Q14">
        <v>2845.6296296296291</v>
      </c>
      <c r="R14">
        <v>1016.2962962962962</v>
      </c>
      <c r="S14">
        <v>2032.5925925925924</v>
      </c>
      <c r="T14">
        <v>1422.8148148148146</v>
      </c>
    </row>
    <row r="15" spans="1:20" x14ac:dyDescent="0.3">
      <c r="A15" t="s">
        <v>11</v>
      </c>
      <c r="B15">
        <v>11002</v>
      </c>
      <c r="C15" s="128">
        <v>948.54320987654307</v>
      </c>
      <c r="D15" s="128">
        <v>663.98024691358012</v>
      </c>
      <c r="E15" s="143"/>
      <c r="F15" s="143"/>
      <c r="G15" s="37"/>
      <c r="H15" s="37"/>
      <c r="I15" s="21"/>
      <c r="J15" s="21"/>
      <c r="L15" s="141">
        <v>11008</v>
      </c>
      <c r="M15" t="s">
        <v>4</v>
      </c>
      <c r="N15" t="s">
        <v>9</v>
      </c>
      <c r="O15" t="s">
        <v>17</v>
      </c>
      <c r="P15" s="142" t="s">
        <v>121</v>
      </c>
      <c r="Q15">
        <v>1327.9604938271602</v>
      </c>
      <c r="R15">
        <v>474.27160493827154</v>
      </c>
      <c r="S15">
        <v>948.54320987654307</v>
      </c>
      <c r="T15">
        <v>663.98024691358012</v>
      </c>
    </row>
    <row r="16" spans="1:20" x14ac:dyDescent="0.3">
      <c r="A16" t="s">
        <v>12</v>
      </c>
      <c r="B16">
        <v>11003</v>
      </c>
      <c r="C16" s="128">
        <v>442.65349794238676</v>
      </c>
      <c r="D16" s="128">
        <v>309.85744855967073</v>
      </c>
      <c r="E16" s="143"/>
      <c r="F16" s="143"/>
      <c r="G16" s="37"/>
      <c r="H16" s="37"/>
      <c r="I16" s="21"/>
      <c r="J16" s="21"/>
      <c r="L16" s="141">
        <v>11009</v>
      </c>
      <c r="M16" t="s">
        <v>4</v>
      </c>
      <c r="N16" t="s">
        <v>9</v>
      </c>
      <c r="O16" t="s">
        <v>18</v>
      </c>
      <c r="P16" s="142" t="s">
        <v>122</v>
      </c>
      <c r="Q16">
        <v>619.71489711934146</v>
      </c>
      <c r="R16">
        <v>221.32674897119338</v>
      </c>
      <c r="S16">
        <v>442.65349794238676</v>
      </c>
      <c r="T16">
        <v>309.85744855967073</v>
      </c>
    </row>
    <row r="17" spans="1:20" x14ac:dyDescent="0.3">
      <c r="A17" t="s">
        <v>13</v>
      </c>
      <c r="B17">
        <v>11004</v>
      </c>
      <c r="C17" s="128">
        <v>20000</v>
      </c>
      <c r="D17" s="128">
        <v>14000</v>
      </c>
      <c r="E17" s="143"/>
      <c r="F17" s="143"/>
      <c r="G17" s="37"/>
      <c r="H17" s="37"/>
      <c r="I17" s="21"/>
      <c r="J17" s="21"/>
      <c r="L17" s="141">
        <v>11010</v>
      </c>
      <c r="M17" t="s">
        <v>4</v>
      </c>
      <c r="N17" t="s">
        <v>9</v>
      </c>
      <c r="O17" t="s">
        <v>19</v>
      </c>
      <c r="P17" s="142" t="s">
        <v>123</v>
      </c>
      <c r="Q17">
        <v>28000</v>
      </c>
      <c r="R17">
        <v>10000</v>
      </c>
      <c r="S17">
        <v>20000</v>
      </c>
      <c r="T17">
        <v>14000</v>
      </c>
    </row>
    <row r="18" spans="1:20" x14ac:dyDescent="0.3">
      <c r="A18" t="s">
        <v>14</v>
      </c>
      <c r="B18">
        <v>11005</v>
      </c>
      <c r="C18" s="128">
        <v>9333.3333333333339</v>
      </c>
      <c r="D18" s="128">
        <v>6533.333333333333</v>
      </c>
      <c r="E18" s="143"/>
      <c r="F18" s="143"/>
      <c r="G18" s="37"/>
      <c r="H18" s="37"/>
      <c r="I18" s="21"/>
      <c r="J18" s="21"/>
      <c r="L18" s="141">
        <v>11999</v>
      </c>
      <c r="M18" t="s">
        <v>4</v>
      </c>
      <c r="N18" t="s">
        <v>9</v>
      </c>
      <c r="O18" t="s">
        <v>20</v>
      </c>
      <c r="P18" s="142" t="s">
        <v>124</v>
      </c>
      <c r="Q18">
        <v>13066.666666666666</v>
      </c>
      <c r="R18">
        <v>4666.666666666667</v>
      </c>
      <c r="S18">
        <v>9333.3333333333339</v>
      </c>
      <c r="T18">
        <v>6533.333333333333</v>
      </c>
    </row>
    <row r="19" spans="1:20" x14ac:dyDescent="0.3">
      <c r="A19" t="s">
        <v>15</v>
      </c>
      <c r="B19">
        <v>11006</v>
      </c>
      <c r="C19" s="128">
        <v>4355.5555555555557</v>
      </c>
      <c r="D19" s="128">
        <v>3048.8888888888887</v>
      </c>
      <c r="E19" s="143"/>
      <c r="F19" s="143"/>
      <c r="G19" s="37"/>
      <c r="H19" s="37"/>
      <c r="I19" s="21"/>
      <c r="J19" s="21"/>
      <c r="L19" s="141">
        <v>12001</v>
      </c>
      <c r="M19" t="s">
        <v>4</v>
      </c>
      <c r="N19" t="s">
        <v>21</v>
      </c>
      <c r="O19" t="s">
        <v>22</v>
      </c>
      <c r="P19" s="142" t="s">
        <v>125</v>
      </c>
      <c r="Q19">
        <v>6097.7777777777774</v>
      </c>
      <c r="R19">
        <v>2177.7777777777778</v>
      </c>
      <c r="S19">
        <v>4355.5555555555557</v>
      </c>
      <c r="T19">
        <v>3048.8888888888887</v>
      </c>
    </row>
    <row r="20" spans="1:20" x14ac:dyDescent="0.3">
      <c r="A20" t="s">
        <v>16</v>
      </c>
      <c r="B20">
        <v>11007</v>
      </c>
      <c r="C20" s="128">
        <v>2032.5925925925924</v>
      </c>
      <c r="D20" s="128">
        <v>1422.8148148148146</v>
      </c>
      <c r="E20" s="143"/>
      <c r="F20" s="143"/>
      <c r="G20" s="37"/>
      <c r="H20" s="37"/>
      <c r="I20" s="21"/>
      <c r="J20" s="21"/>
      <c r="L20" s="141">
        <v>12002</v>
      </c>
      <c r="M20" t="s">
        <v>4</v>
      </c>
      <c r="N20" t="s">
        <v>21</v>
      </c>
      <c r="O20" t="s">
        <v>23</v>
      </c>
      <c r="P20" s="142" t="s">
        <v>126</v>
      </c>
      <c r="Q20">
        <v>2845.6296296296291</v>
      </c>
      <c r="R20">
        <v>1016.2962962962962</v>
      </c>
      <c r="S20">
        <v>2032.5925925925924</v>
      </c>
      <c r="T20">
        <v>1422.8148148148146</v>
      </c>
    </row>
    <row r="21" spans="1:20" x14ac:dyDescent="0.3">
      <c r="A21" t="s">
        <v>17</v>
      </c>
      <c r="B21">
        <v>11008</v>
      </c>
      <c r="C21" s="128">
        <v>948.54320987654307</v>
      </c>
      <c r="D21" s="128">
        <v>663.98024691358012</v>
      </c>
      <c r="E21" s="143"/>
      <c r="F21" s="143"/>
      <c r="G21" s="37"/>
      <c r="H21" s="37"/>
      <c r="I21" s="21"/>
      <c r="J21" s="21"/>
      <c r="L21" s="141">
        <v>12003</v>
      </c>
      <c r="M21" t="s">
        <v>4</v>
      </c>
      <c r="N21" t="s">
        <v>21</v>
      </c>
      <c r="O21" t="s">
        <v>24</v>
      </c>
      <c r="P21" s="142" t="s">
        <v>127</v>
      </c>
      <c r="Q21">
        <v>1327.9604938271602</v>
      </c>
      <c r="R21">
        <v>474.27160493827154</v>
      </c>
      <c r="S21">
        <v>948.54320987654307</v>
      </c>
      <c r="T21">
        <v>663.98024691358012</v>
      </c>
    </row>
    <row r="22" spans="1:20" x14ac:dyDescent="0.3">
      <c r="A22" t="s">
        <v>18</v>
      </c>
      <c r="B22">
        <v>11009</v>
      </c>
      <c r="C22" s="36">
        <v>442.65349794238676</v>
      </c>
      <c r="D22" s="36">
        <v>309.85744855967073</v>
      </c>
      <c r="E22" s="145"/>
      <c r="F22" s="145"/>
      <c r="G22" s="37"/>
      <c r="H22" s="37"/>
      <c r="I22" s="21"/>
      <c r="J22" s="21"/>
      <c r="L22" s="141">
        <v>12004</v>
      </c>
      <c r="M22" t="s">
        <v>4</v>
      </c>
      <c r="N22" t="s">
        <v>21</v>
      </c>
      <c r="O22" t="s">
        <v>25</v>
      </c>
      <c r="P22" s="142" t="s">
        <v>128</v>
      </c>
      <c r="Q22">
        <v>619.71489711934146</v>
      </c>
      <c r="R22">
        <v>221.32674897119338</v>
      </c>
      <c r="S22">
        <v>442.65349794238676</v>
      </c>
      <c r="T22">
        <v>309.85744855967073</v>
      </c>
    </row>
    <row r="23" spans="1:20" x14ac:dyDescent="0.3">
      <c r="A23" t="s">
        <v>19</v>
      </c>
      <c r="B23">
        <v>11010</v>
      </c>
      <c r="C23" s="128">
        <v>20000</v>
      </c>
      <c r="D23" s="128">
        <v>14000</v>
      </c>
      <c r="E23" s="143"/>
      <c r="F23" s="143"/>
      <c r="G23" s="37"/>
      <c r="H23" s="37"/>
      <c r="I23" s="21"/>
      <c r="J23" s="21"/>
      <c r="L23" s="141">
        <v>12005</v>
      </c>
      <c r="M23" t="s">
        <v>4</v>
      </c>
      <c r="N23" t="s">
        <v>21</v>
      </c>
      <c r="O23" t="s">
        <v>26</v>
      </c>
      <c r="P23" s="142" t="s">
        <v>129</v>
      </c>
      <c r="Q23">
        <v>28000</v>
      </c>
      <c r="R23">
        <v>10000</v>
      </c>
      <c r="S23">
        <v>20000</v>
      </c>
      <c r="T23">
        <v>14000</v>
      </c>
    </row>
    <row r="24" spans="1:20" ht="15" thickBot="1" x14ac:dyDescent="0.35">
      <c r="A24" s="40" t="s">
        <v>20</v>
      </c>
      <c r="B24" s="40"/>
      <c r="C24" s="129">
        <f>SUM(C14:C23)</f>
        <v>60536.467489711933</v>
      </c>
      <c r="D24" s="129">
        <f>SUM(D14:D23)</f>
        <v>42375.527242798351</v>
      </c>
      <c r="E24" s="146"/>
      <c r="F24" s="146"/>
      <c r="G24" s="42"/>
      <c r="H24" s="42"/>
      <c r="I24" s="131"/>
      <c r="J24" s="131"/>
      <c r="L24" s="141">
        <v>12006</v>
      </c>
      <c r="M24" t="s">
        <v>4</v>
      </c>
      <c r="N24" t="s">
        <v>21</v>
      </c>
      <c r="O24" t="s">
        <v>27</v>
      </c>
      <c r="P24" s="142" t="s">
        <v>130</v>
      </c>
      <c r="Q24">
        <v>13066.666666666666</v>
      </c>
      <c r="R24">
        <v>4666.666666666667</v>
      </c>
      <c r="S24">
        <v>9333.3333333333339</v>
      </c>
      <c r="T24">
        <v>6533.333333333333</v>
      </c>
    </row>
    <row r="25" spans="1:20" ht="15" thickTop="1" x14ac:dyDescent="0.3">
      <c r="C25" s="128"/>
      <c r="D25" s="128"/>
      <c r="E25" s="143"/>
      <c r="F25" s="143"/>
      <c r="G25" s="37"/>
      <c r="H25" s="37"/>
      <c r="I25" s="21"/>
      <c r="J25" s="21"/>
      <c r="L25" s="141">
        <v>12007</v>
      </c>
      <c r="M25" t="s">
        <v>4</v>
      </c>
      <c r="N25" t="s">
        <v>21</v>
      </c>
      <c r="O25" t="s">
        <v>28</v>
      </c>
      <c r="P25" s="142" t="s">
        <v>131</v>
      </c>
      <c r="Q25">
        <v>6097.7777777777774</v>
      </c>
      <c r="R25">
        <v>2177.7777777777778</v>
      </c>
      <c r="S25">
        <v>4355.5555555555557</v>
      </c>
      <c r="T25">
        <v>3048.8888888888887</v>
      </c>
    </row>
    <row r="26" spans="1:20" x14ac:dyDescent="0.3">
      <c r="A26" s="45" t="s">
        <v>21</v>
      </c>
      <c r="C26" s="128"/>
      <c r="D26" s="128"/>
      <c r="E26" s="143"/>
      <c r="F26" s="143"/>
      <c r="G26" s="37"/>
      <c r="H26" s="37"/>
      <c r="I26" s="21"/>
      <c r="J26" s="21"/>
      <c r="L26" s="141">
        <v>12008</v>
      </c>
      <c r="M26" t="s">
        <v>4</v>
      </c>
      <c r="N26" t="s">
        <v>21</v>
      </c>
      <c r="O26" t="s">
        <v>29</v>
      </c>
      <c r="P26" s="142" t="s">
        <v>132</v>
      </c>
      <c r="Q26">
        <v>2845.6296296296291</v>
      </c>
      <c r="R26">
        <v>1016.2962962962962</v>
      </c>
      <c r="S26">
        <v>2032.5925925925924</v>
      </c>
      <c r="T26">
        <v>1422.8148148148146</v>
      </c>
    </row>
    <row r="27" spans="1:20" x14ac:dyDescent="0.3">
      <c r="A27" t="s">
        <v>22</v>
      </c>
      <c r="B27">
        <v>12001</v>
      </c>
      <c r="C27" s="128">
        <v>4355.5555555555557</v>
      </c>
      <c r="D27" s="128">
        <v>3048.8888888888887</v>
      </c>
      <c r="E27" s="143"/>
      <c r="F27" s="143"/>
      <c r="G27" s="37"/>
      <c r="H27" s="37"/>
      <c r="I27" s="21"/>
      <c r="J27" s="21"/>
      <c r="L27" s="141">
        <v>12009</v>
      </c>
      <c r="M27" t="s">
        <v>4</v>
      </c>
      <c r="N27" t="s">
        <v>21</v>
      </c>
      <c r="O27" t="s">
        <v>30</v>
      </c>
      <c r="P27" s="142" t="s">
        <v>133</v>
      </c>
      <c r="Q27">
        <v>1327.9604938271602</v>
      </c>
      <c r="R27">
        <v>474.27160493827154</v>
      </c>
      <c r="S27">
        <v>948.54320987654307</v>
      </c>
      <c r="T27">
        <v>663.98024691358012</v>
      </c>
    </row>
    <row r="28" spans="1:20" x14ac:dyDescent="0.3">
      <c r="A28" t="s">
        <v>23</v>
      </c>
      <c r="B28">
        <v>12002</v>
      </c>
      <c r="C28" s="128">
        <v>2032.5925925925924</v>
      </c>
      <c r="D28" s="128">
        <v>1422.8148148148146</v>
      </c>
      <c r="E28" s="143"/>
      <c r="F28" s="143"/>
      <c r="G28" s="37"/>
      <c r="H28" s="37"/>
      <c r="I28" s="21"/>
      <c r="J28" s="21"/>
      <c r="L28" s="141">
        <v>12010</v>
      </c>
      <c r="M28" t="s">
        <v>4</v>
      </c>
      <c r="N28" t="s">
        <v>21</v>
      </c>
      <c r="O28" t="s">
        <v>31</v>
      </c>
      <c r="P28" s="142" t="s">
        <v>134</v>
      </c>
      <c r="Q28">
        <v>619.71489711934146</v>
      </c>
      <c r="R28">
        <v>221.32674897119338</v>
      </c>
      <c r="S28">
        <v>442.65349794238676</v>
      </c>
      <c r="T28">
        <v>309.85744855967073</v>
      </c>
    </row>
    <row r="29" spans="1:20" x14ac:dyDescent="0.3">
      <c r="A29" t="s">
        <v>24</v>
      </c>
      <c r="B29">
        <v>12003</v>
      </c>
      <c r="C29" s="128">
        <v>948.54320987654307</v>
      </c>
      <c r="D29" s="128">
        <v>663.98024691358012</v>
      </c>
      <c r="E29" s="143"/>
      <c r="F29" s="143"/>
      <c r="G29" s="37"/>
      <c r="H29" s="37"/>
      <c r="I29" s="21"/>
      <c r="J29" s="21"/>
      <c r="L29" s="141">
        <v>12011</v>
      </c>
      <c r="M29" t="s">
        <v>4</v>
      </c>
      <c r="N29" t="s">
        <v>21</v>
      </c>
      <c r="O29" t="s">
        <v>32</v>
      </c>
      <c r="P29" s="142" t="s">
        <v>135</v>
      </c>
      <c r="Q29">
        <v>28000</v>
      </c>
      <c r="R29">
        <v>10000</v>
      </c>
      <c r="S29">
        <v>20000</v>
      </c>
      <c r="T29">
        <v>14000</v>
      </c>
    </row>
    <row r="30" spans="1:20" x14ac:dyDescent="0.3">
      <c r="A30" t="s">
        <v>25</v>
      </c>
      <c r="B30">
        <v>12004</v>
      </c>
      <c r="C30" s="128">
        <v>442.65349794238676</v>
      </c>
      <c r="D30" s="128">
        <v>309.85744855967073</v>
      </c>
      <c r="E30" s="143"/>
      <c r="F30" s="143"/>
      <c r="G30" s="37"/>
      <c r="H30" s="37"/>
      <c r="I30" s="21"/>
      <c r="J30" s="21"/>
      <c r="L30" s="141">
        <v>12012</v>
      </c>
      <c r="M30" t="s">
        <v>4</v>
      </c>
      <c r="N30" t="s">
        <v>21</v>
      </c>
      <c r="O30" t="s">
        <v>33</v>
      </c>
      <c r="P30" s="142" t="s">
        <v>136</v>
      </c>
      <c r="Q30">
        <v>13066.666666666666</v>
      </c>
      <c r="R30">
        <v>4666.666666666667</v>
      </c>
      <c r="S30">
        <v>9333.3333333333339</v>
      </c>
      <c r="T30">
        <v>6533.333333333333</v>
      </c>
    </row>
    <row r="31" spans="1:20" x14ac:dyDescent="0.3">
      <c r="A31" t="s">
        <v>26</v>
      </c>
      <c r="B31">
        <v>12005</v>
      </c>
      <c r="C31" s="128">
        <v>20000</v>
      </c>
      <c r="D31" s="128">
        <v>14000</v>
      </c>
      <c r="E31" s="143"/>
      <c r="F31" s="143"/>
      <c r="G31" s="37"/>
      <c r="H31" s="37"/>
      <c r="I31" s="21"/>
      <c r="J31" s="21"/>
      <c r="L31" s="141">
        <v>12013</v>
      </c>
      <c r="M31" t="s">
        <v>4</v>
      </c>
      <c r="N31" t="s">
        <v>21</v>
      </c>
      <c r="O31" t="s">
        <v>34</v>
      </c>
      <c r="P31" s="142" t="s">
        <v>137</v>
      </c>
      <c r="Q31">
        <v>6097.7777777777774</v>
      </c>
      <c r="R31">
        <v>2177.7777777777778</v>
      </c>
      <c r="S31">
        <v>4355.5555555555557</v>
      </c>
      <c r="T31">
        <v>3048.8888888888887</v>
      </c>
    </row>
    <row r="32" spans="1:20" x14ac:dyDescent="0.3">
      <c r="A32" t="s">
        <v>27</v>
      </c>
      <c r="B32">
        <v>12006</v>
      </c>
      <c r="C32" s="128">
        <v>9333.3333333333339</v>
      </c>
      <c r="D32" s="128">
        <v>6533.333333333333</v>
      </c>
      <c r="E32" s="143"/>
      <c r="F32" s="143"/>
      <c r="G32" s="37"/>
      <c r="H32" s="37"/>
      <c r="I32" s="21"/>
      <c r="J32" s="21"/>
      <c r="L32" s="141">
        <v>12014</v>
      </c>
      <c r="M32" t="s">
        <v>4</v>
      </c>
      <c r="N32" t="s">
        <v>21</v>
      </c>
      <c r="O32" t="s">
        <v>35</v>
      </c>
      <c r="P32" s="142" t="s">
        <v>138</v>
      </c>
      <c r="Q32">
        <v>2845.6296296296291</v>
      </c>
      <c r="R32">
        <v>1016.2962962962962</v>
      </c>
      <c r="S32">
        <v>2032.5925925925924</v>
      </c>
      <c r="T32">
        <v>1422.8148148148146</v>
      </c>
    </row>
    <row r="33" spans="1:20" x14ac:dyDescent="0.3">
      <c r="A33" t="s">
        <v>28</v>
      </c>
      <c r="B33">
        <v>12007</v>
      </c>
      <c r="C33" s="128">
        <v>4355.5555555555557</v>
      </c>
      <c r="D33" s="128">
        <v>3048.8888888888887</v>
      </c>
      <c r="E33" s="143"/>
      <c r="F33" s="143"/>
      <c r="G33" s="37"/>
      <c r="H33" s="37"/>
      <c r="I33" s="21"/>
      <c r="J33" s="21"/>
      <c r="L33" s="141">
        <v>12015</v>
      </c>
      <c r="M33" t="s">
        <v>4</v>
      </c>
      <c r="N33" t="s">
        <v>21</v>
      </c>
      <c r="O33" t="s">
        <v>36</v>
      </c>
      <c r="P33" s="142" t="s">
        <v>139</v>
      </c>
      <c r="Q33">
        <v>1327.9604938271602</v>
      </c>
      <c r="R33">
        <v>474.27160493827154</v>
      </c>
      <c r="S33">
        <v>948.54320987654307</v>
      </c>
      <c r="T33">
        <v>663.98024691358012</v>
      </c>
    </row>
    <row r="34" spans="1:20" x14ac:dyDescent="0.3">
      <c r="A34" t="s">
        <v>29</v>
      </c>
      <c r="B34">
        <v>12008</v>
      </c>
      <c r="C34" s="128">
        <v>2032.5925925925924</v>
      </c>
      <c r="D34" s="128">
        <v>1422.8148148148146</v>
      </c>
      <c r="E34" s="143"/>
      <c r="F34" s="143"/>
      <c r="G34" s="37"/>
      <c r="H34" s="37"/>
      <c r="I34" s="21"/>
      <c r="J34" s="21"/>
      <c r="L34" s="141">
        <v>12016</v>
      </c>
      <c r="M34" t="s">
        <v>4</v>
      </c>
      <c r="N34" t="s">
        <v>21</v>
      </c>
      <c r="O34" t="s">
        <v>37</v>
      </c>
      <c r="P34" s="142" t="s">
        <v>140</v>
      </c>
      <c r="Q34">
        <v>619.71489711934146</v>
      </c>
      <c r="R34">
        <v>221.32674897119338</v>
      </c>
      <c r="S34">
        <v>442.65349794238676</v>
      </c>
      <c r="T34">
        <v>309.85744855967073</v>
      </c>
    </row>
    <row r="35" spans="1:20" x14ac:dyDescent="0.3">
      <c r="A35" t="s">
        <v>30</v>
      </c>
      <c r="B35">
        <v>12009</v>
      </c>
      <c r="C35" s="128">
        <v>948.54320987654307</v>
      </c>
      <c r="D35" s="128">
        <v>663.98024691358012</v>
      </c>
      <c r="E35" s="143"/>
      <c r="F35" s="143"/>
      <c r="G35" s="37"/>
      <c r="H35" s="37"/>
      <c r="I35" s="21"/>
      <c r="J35" s="21"/>
      <c r="L35" s="141">
        <v>12017</v>
      </c>
      <c r="M35" t="s">
        <v>4</v>
      </c>
      <c r="N35" t="s">
        <v>21</v>
      </c>
      <c r="O35" t="s">
        <v>38</v>
      </c>
      <c r="P35" s="142" t="s">
        <v>141</v>
      </c>
      <c r="Q35">
        <v>28000</v>
      </c>
      <c r="R35">
        <v>10000</v>
      </c>
      <c r="S35">
        <v>20000</v>
      </c>
      <c r="T35">
        <v>14000</v>
      </c>
    </row>
    <row r="36" spans="1:20" x14ac:dyDescent="0.3">
      <c r="A36" t="s">
        <v>31</v>
      </c>
      <c r="B36">
        <v>12010</v>
      </c>
      <c r="C36" s="128">
        <v>442.65349794238676</v>
      </c>
      <c r="D36" s="128">
        <v>309.85744855967073</v>
      </c>
      <c r="E36" s="143"/>
      <c r="F36" s="143"/>
      <c r="G36" s="37"/>
      <c r="H36" s="37"/>
      <c r="I36" s="21"/>
      <c r="J36" s="21"/>
      <c r="L36" s="141">
        <v>12999</v>
      </c>
      <c r="M36" t="s">
        <v>4</v>
      </c>
      <c r="N36" t="s">
        <v>21</v>
      </c>
      <c r="O36" t="s">
        <v>39</v>
      </c>
      <c r="P36" s="142" t="s">
        <v>142</v>
      </c>
      <c r="Q36">
        <v>13066.666666666666</v>
      </c>
      <c r="R36">
        <v>4666.666666666667</v>
      </c>
      <c r="S36">
        <v>9333.3333333333339</v>
      </c>
      <c r="T36">
        <v>6533.333333333333</v>
      </c>
    </row>
    <row r="37" spans="1:20" x14ac:dyDescent="0.3">
      <c r="A37" t="s">
        <v>32</v>
      </c>
      <c r="B37">
        <v>12011</v>
      </c>
      <c r="C37" s="128">
        <v>20000</v>
      </c>
      <c r="D37" s="128">
        <v>14000</v>
      </c>
      <c r="E37" s="143"/>
      <c r="F37" s="143"/>
      <c r="G37" s="37"/>
      <c r="H37" s="37"/>
      <c r="I37" s="21"/>
      <c r="J37" s="21"/>
      <c r="L37" s="141">
        <v>13001</v>
      </c>
      <c r="M37" t="s">
        <v>4</v>
      </c>
      <c r="N37" t="s">
        <v>40</v>
      </c>
      <c r="O37" t="s">
        <v>41</v>
      </c>
      <c r="P37" s="142" t="s">
        <v>143</v>
      </c>
      <c r="Q37">
        <v>6097.7777777777774</v>
      </c>
      <c r="R37">
        <v>2177.7777777777778</v>
      </c>
      <c r="S37">
        <v>4355.5555555555557</v>
      </c>
      <c r="T37">
        <v>3048.8888888888887</v>
      </c>
    </row>
    <row r="38" spans="1:20" x14ac:dyDescent="0.3">
      <c r="A38" t="s">
        <v>33</v>
      </c>
      <c r="B38">
        <v>12012</v>
      </c>
      <c r="C38" s="128">
        <v>9333.3333333333339</v>
      </c>
      <c r="D38" s="128">
        <v>6533.333333333333</v>
      </c>
      <c r="E38" s="143"/>
      <c r="F38" s="143"/>
      <c r="G38" s="37"/>
      <c r="H38" s="37"/>
      <c r="I38" s="21"/>
      <c r="J38" s="21"/>
      <c r="L38" s="141">
        <v>13002</v>
      </c>
      <c r="M38" t="s">
        <v>4</v>
      </c>
      <c r="N38" t="s">
        <v>40</v>
      </c>
      <c r="O38" t="s">
        <v>42</v>
      </c>
      <c r="P38" s="142" t="s">
        <v>144</v>
      </c>
      <c r="Q38">
        <v>2845.6296296296291</v>
      </c>
      <c r="R38">
        <v>1016.2962962962962</v>
      </c>
      <c r="S38">
        <v>2032.5925925925924</v>
      </c>
      <c r="T38">
        <v>1422.8148148148146</v>
      </c>
    </row>
    <row r="39" spans="1:20" x14ac:dyDescent="0.3">
      <c r="A39" t="s">
        <v>34</v>
      </c>
      <c r="B39">
        <v>12013</v>
      </c>
      <c r="C39" s="128">
        <v>4355.5555555555557</v>
      </c>
      <c r="D39" s="128">
        <v>3048.8888888888887</v>
      </c>
      <c r="E39" s="143"/>
      <c r="F39" s="143"/>
      <c r="G39" s="37"/>
      <c r="H39" s="37"/>
      <c r="I39" s="21"/>
      <c r="J39" s="21"/>
      <c r="L39" s="141">
        <v>13010</v>
      </c>
      <c r="M39" t="s">
        <v>4</v>
      </c>
      <c r="N39" t="s">
        <v>40</v>
      </c>
      <c r="O39" t="s">
        <v>43</v>
      </c>
      <c r="P39" s="142" t="s">
        <v>145</v>
      </c>
      <c r="Q39">
        <v>1327.9604938271602</v>
      </c>
      <c r="R39">
        <v>474.27160493827154</v>
      </c>
      <c r="S39">
        <v>948.54320987654307</v>
      </c>
      <c r="T39">
        <v>663.98024691358012</v>
      </c>
    </row>
    <row r="40" spans="1:20" x14ac:dyDescent="0.3">
      <c r="A40" t="s">
        <v>35</v>
      </c>
      <c r="B40">
        <v>12014</v>
      </c>
      <c r="C40" s="36">
        <v>2032.5925925925924</v>
      </c>
      <c r="D40" s="36">
        <v>1422.8148148148146</v>
      </c>
      <c r="E40" s="145"/>
      <c r="F40" s="145"/>
      <c r="G40" s="37"/>
      <c r="H40" s="37"/>
      <c r="I40" s="21"/>
      <c r="J40" s="21"/>
      <c r="L40" s="141">
        <v>13100</v>
      </c>
      <c r="M40" t="s">
        <v>4</v>
      </c>
      <c r="N40" t="s">
        <v>44</v>
      </c>
      <c r="O40" t="s">
        <v>45</v>
      </c>
      <c r="P40" s="142" t="s">
        <v>146</v>
      </c>
      <c r="Q40">
        <v>619.71489711934146</v>
      </c>
      <c r="R40">
        <v>221.32674897119338</v>
      </c>
      <c r="S40">
        <v>442.65349794238676</v>
      </c>
      <c r="T40">
        <v>309.85744855967073</v>
      </c>
    </row>
    <row r="41" spans="1:20" x14ac:dyDescent="0.3">
      <c r="A41" t="s">
        <v>36</v>
      </c>
      <c r="B41">
        <v>12015</v>
      </c>
      <c r="C41" s="128">
        <v>948.54320987654307</v>
      </c>
      <c r="D41" s="128">
        <v>663.98024691358012</v>
      </c>
      <c r="E41" s="143"/>
      <c r="F41" s="143"/>
      <c r="G41" s="37"/>
      <c r="H41" s="37"/>
      <c r="I41" s="21"/>
      <c r="J41" s="21"/>
      <c r="L41" s="141">
        <v>13201</v>
      </c>
      <c r="M41" t="s">
        <v>4</v>
      </c>
      <c r="N41" t="s">
        <v>46</v>
      </c>
      <c r="O41" t="s">
        <v>47</v>
      </c>
      <c r="P41" s="142" t="s">
        <v>147</v>
      </c>
      <c r="Q41">
        <v>28000</v>
      </c>
      <c r="R41">
        <v>10000</v>
      </c>
      <c r="S41">
        <v>20000</v>
      </c>
      <c r="T41">
        <v>14000</v>
      </c>
    </row>
    <row r="42" spans="1:20" x14ac:dyDescent="0.3">
      <c r="A42" t="s">
        <v>37</v>
      </c>
      <c r="B42">
        <v>12016</v>
      </c>
      <c r="C42" s="128">
        <v>442.65349794238676</v>
      </c>
      <c r="D42" s="128">
        <v>309.85744855967073</v>
      </c>
      <c r="E42" s="143"/>
      <c r="F42" s="143"/>
      <c r="G42" s="37"/>
      <c r="H42" s="37"/>
      <c r="I42" s="21"/>
      <c r="J42" s="21"/>
      <c r="L42" s="141">
        <v>13202</v>
      </c>
      <c r="M42" t="s">
        <v>4</v>
      </c>
      <c r="N42" t="s">
        <v>46</v>
      </c>
      <c r="O42" t="s">
        <v>48</v>
      </c>
      <c r="P42" s="142" t="s">
        <v>148</v>
      </c>
      <c r="Q42">
        <v>13066.666666666666</v>
      </c>
      <c r="R42">
        <v>4666.666666666667</v>
      </c>
      <c r="S42">
        <v>9333.3333333333339</v>
      </c>
      <c r="T42">
        <v>6533.333333333333</v>
      </c>
    </row>
    <row r="43" spans="1:20" x14ac:dyDescent="0.3">
      <c r="A43" t="s">
        <v>38</v>
      </c>
      <c r="B43">
        <v>12017</v>
      </c>
      <c r="C43" s="36">
        <v>20000</v>
      </c>
      <c r="D43" s="36">
        <v>14000</v>
      </c>
      <c r="E43" s="145"/>
      <c r="F43" s="145"/>
      <c r="G43" s="37"/>
      <c r="H43" s="37"/>
      <c r="I43" s="21"/>
      <c r="J43" s="21"/>
      <c r="L43" s="141">
        <v>13203</v>
      </c>
      <c r="M43" t="s">
        <v>4</v>
      </c>
      <c r="N43" t="s">
        <v>46</v>
      </c>
      <c r="O43" t="s">
        <v>49</v>
      </c>
      <c r="P43" s="142" t="s">
        <v>149</v>
      </c>
      <c r="Q43">
        <v>6097.7777777777774</v>
      </c>
      <c r="R43">
        <v>2177.7777777777778</v>
      </c>
      <c r="S43">
        <v>4355.5555555555557</v>
      </c>
      <c r="T43">
        <v>3048.8888888888887</v>
      </c>
    </row>
    <row r="44" spans="1:20" ht="15" thickBot="1" x14ac:dyDescent="0.35">
      <c r="A44" s="40" t="s">
        <v>39</v>
      </c>
      <c r="B44" s="40"/>
      <c r="C44" s="41">
        <f>SUM(C27:C43)</f>
        <v>102004.70123456792</v>
      </c>
      <c r="D44" s="41">
        <f>SUM(D27:D43)</f>
        <v>71403.290864197537</v>
      </c>
      <c r="E44" s="144"/>
      <c r="F44" s="144"/>
      <c r="G44" s="42"/>
      <c r="H44" s="42"/>
      <c r="I44" s="131"/>
      <c r="J44" s="131"/>
      <c r="L44" s="141">
        <v>13204</v>
      </c>
      <c r="M44" t="s">
        <v>4</v>
      </c>
      <c r="N44" t="s">
        <v>46</v>
      </c>
      <c r="O44" t="s">
        <v>50</v>
      </c>
      <c r="P44" s="142" t="s">
        <v>150</v>
      </c>
      <c r="Q44">
        <v>2845.6296296296291</v>
      </c>
      <c r="R44">
        <v>1016.2962962962962</v>
      </c>
      <c r="S44">
        <v>2032.5925925925924</v>
      </c>
      <c r="T44">
        <v>1422.8148148148146</v>
      </c>
    </row>
    <row r="45" spans="1:20" ht="15" thickTop="1" x14ac:dyDescent="0.3">
      <c r="C45" s="36"/>
      <c r="D45" s="36"/>
      <c r="E45" s="145"/>
      <c r="F45" s="145"/>
      <c r="G45" s="37"/>
      <c r="H45" s="37"/>
      <c r="I45" s="21"/>
      <c r="J45" s="21"/>
      <c r="L45" s="141">
        <v>13205</v>
      </c>
      <c r="M45" t="s">
        <v>4</v>
      </c>
      <c r="N45" t="s">
        <v>46</v>
      </c>
      <c r="O45" t="s">
        <v>51</v>
      </c>
      <c r="P45" s="142" t="s">
        <v>151</v>
      </c>
      <c r="Q45">
        <v>1327.9604938271602</v>
      </c>
      <c r="R45">
        <v>474.27160493827154</v>
      </c>
      <c r="S45">
        <v>948.54320987654307</v>
      </c>
      <c r="T45">
        <v>663.98024691358012</v>
      </c>
    </row>
    <row r="46" spans="1:20" x14ac:dyDescent="0.3">
      <c r="A46" s="45" t="s">
        <v>40</v>
      </c>
      <c r="C46" s="36"/>
      <c r="D46" s="36"/>
      <c r="E46" s="145"/>
      <c r="F46" s="145"/>
      <c r="G46" s="37"/>
      <c r="H46" s="37"/>
      <c r="I46" s="21"/>
      <c r="J46" s="21"/>
      <c r="L46" s="141">
        <v>13206</v>
      </c>
      <c r="M46" t="s">
        <v>4</v>
      </c>
      <c r="N46" t="s">
        <v>46</v>
      </c>
      <c r="O46" t="s">
        <v>52</v>
      </c>
      <c r="P46" s="142" t="s">
        <v>152</v>
      </c>
      <c r="Q46">
        <v>619.71489711934146</v>
      </c>
      <c r="R46">
        <v>221.32674897119338</v>
      </c>
      <c r="S46">
        <v>442.65349794238676</v>
      </c>
      <c r="T46">
        <v>309.85744855967073</v>
      </c>
    </row>
    <row r="47" spans="1:20" x14ac:dyDescent="0.3">
      <c r="A47" t="s">
        <v>41</v>
      </c>
      <c r="B47">
        <v>13001</v>
      </c>
      <c r="C47" s="36">
        <v>4355.5555555555557</v>
      </c>
      <c r="D47" s="36">
        <v>3048.8888888888887</v>
      </c>
      <c r="E47" s="145"/>
      <c r="F47" s="145"/>
      <c r="G47" s="37"/>
      <c r="H47" s="37"/>
      <c r="I47" s="21"/>
      <c r="J47" s="21"/>
      <c r="L47" s="141">
        <v>13207</v>
      </c>
      <c r="M47" t="s">
        <v>4</v>
      </c>
      <c r="N47" t="s">
        <v>46</v>
      </c>
      <c r="O47" t="s">
        <v>53</v>
      </c>
      <c r="P47" s="142" t="s">
        <v>153</v>
      </c>
      <c r="Q47">
        <v>28000</v>
      </c>
      <c r="R47">
        <v>10000</v>
      </c>
      <c r="S47">
        <v>20000</v>
      </c>
      <c r="T47">
        <v>14000</v>
      </c>
    </row>
    <row r="48" spans="1:20" x14ac:dyDescent="0.3">
      <c r="A48" t="s">
        <v>42</v>
      </c>
      <c r="B48">
        <v>13002</v>
      </c>
      <c r="C48" s="36">
        <v>2032.5925925925924</v>
      </c>
      <c r="D48" s="36">
        <v>1422.8148148148146</v>
      </c>
      <c r="E48" s="145"/>
      <c r="F48" s="145"/>
      <c r="G48" s="37"/>
      <c r="H48" s="37"/>
      <c r="I48" s="21"/>
      <c r="J48" s="21"/>
      <c r="L48" s="141">
        <v>13208</v>
      </c>
      <c r="M48" t="s">
        <v>4</v>
      </c>
      <c r="N48" t="s">
        <v>46</v>
      </c>
      <c r="O48" t="s">
        <v>54</v>
      </c>
      <c r="P48" s="142" t="s">
        <v>154</v>
      </c>
      <c r="Q48">
        <v>13066.666666666666</v>
      </c>
      <c r="R48">
        <v>4666.666666666667</v>
      </c>
      <c r="S48">
        <v>9333.3333333333339</v>
      </c>
      <c r="T48">
        <v>6533.333333333333</v>
      </c>
    </row>
    <row r="49" spans="1:20" ht="15" thickBot="1" x14ac:dyDescent="0.35">
      <c r="A49" s="40" t="s">
        <v>43</v>
      </c>
      <c r="B49" s="40"/>
      <c r="C49" s="41">
        <f>SUM(C47:C48)</f>
        <v>6388.1481481481478</v>
      </c>
      <c r="D49" s="41">
        <f>SUM(D47:D48)</f>
        <v>4471.7037037037035</v>
      </c>
      <c r="E49" s="144"/>
      <c r="F49" s="144"/>
      <c r="G49" s="42"/>
      <c r="H49" s="42"/>
      <c r="I49" s="131"/>
      <c r="J49" s="131"/>
      <c r="L49" s="141">
        <v>13299</v>
      </c>
      <c r="M49" t="s">
        <v>4</v>
      </c>
      <c r="N49" t="s">
        <v>46</v>
      </c>
      <c r="O49" t="s">
        <v>55</v>
      </c>
      <c r="P49" s="142" t="s">
        <v>155</v>
      </c>
      <c r="Q49">
        <v>6097.7777777777774</v>
      </c>
      <c r="R49">
        <v>2177.7777777777778</v>
      </c>
      <c r="S49">
        <v>4355.5555555555557</v>
      </c>
      <c r="T49">
        <v>3048.8888888888887</v>
      </c>
    </row>
    <row r="50" spans="1:20" ht="15" thickTop="1" x14ac:dyDescent="0.3">
      <c r="C50" s="36"/>
      <c r="D50" s="36"/>
      <c r="E50" s="145"/>
      <c r="F50" s="145"/>
      <c r="G50" s="37"/>
      <c r="H50" s="37"/>
      <c r="I50" s="21"/>
      <c r="J50" s="21"/>
      <c r="L50" s="141">
        <v>13300</v>
      </c>
      <c r="M50" t="s">
        <v>4</v>
      </c>
      <c r="N50" t="s">
        <v>56</v>
      </c>
      <c r="O50" t="s">
        <v>57</v>
      </c>
      <c r="P50" s="142" t="s">
        <v>156</v>
      </c>
      <c r="Q50">
        <v>2845.6296296296291</v>
      </c>
      <c r="R50">
        <v>1016.2962962962962</v>
      </c>
      <c r="S50">
        <v>2032.5925925925924</v>
      </c>
      <c r="T50">
        <v>1422.8148148148146</v>
      </c>
    </row>
    <row r="51" spans="1:20" ht="15" thickBot="1" x14ac:dyDescent="0.35">
      <c r="A51" s="40" t="s">
        <v>45</v>
      </c>
      <c r="B51" s="40"/>
      <c r="C51" s="41">
        <f>SUM(C49,C44,C24,C11)</f>
        <v>198262.65020576134</v>
      </c>
      <c r="D51" s="41">
        <f>SUM(D49,D44,D24,D11)</f>
        <v>138783.85514403295</v>
      </c>
      <c r="E51" s="144"/>
      <c r="F51" s="144"/>
      <c r="G51" s="42"/>
      <c r="H51" s="42"/>
      <c r="I51" s="131"/>
      <c r="J51" s="131"/>
      <c r="L51" s="141">
        <v>13301</v>
      </c>
      <c r="M51" t="s">
        <v>4</v>
      </c>
      <c r="N51" t="s">
        <v>58</v>
      </c>
      <c r="O51" t="s">
        <v>59</v>
      </c>
      <c r="P51" s="142" t="s">
        <v>157</v>
      </c>
      <c r="Q51">
        <v>1327.9604938271602</v>
      </c>
      <c r="R51">
        <v>474.27160493827154</v>
      </c>
      <c r="S51">
        <v>948.54320987654307</v>
      </c>
      <c r="T51">
        <v>663.98024691358012</v>
      </c>
    </row>
    <row r="52" spans="1:20" ht="15" thickTop="1" x14ac:dyDescent="0.3">
      <c r="C52" s="36"/>
      <c r="D52" s="36"/>
      <c r="E52" s="145"/>
      <c r="F52" s="145"/>
      <c r="G52" s="37"/>
      <c r="H52" s="37"/>
      <c r="I52" s="21"/>
      <c r="J52" s="21"/>
      <c r="L52" s="141">
        <v>13302</v>
      </c>
      <c r="M52" t="s">
        <v>4</v>
      </c>
      <c r="N52" t="s">
        <v>60</v>
      </c>
      <c r="O52" t="s">
        <v>61</v>
      </c>
      <c r="P52" s="142" t="s">
        <v>158</v>
      </c>
      <c r="Q52">
        <v>619.71489711934146</v>
      </c>
      <c r="R52">
        <v>221.32674897119338</v>
      </c>
      <c r="S52">
        <v>442.65349794238676</v>
      </c>
      <c r="T52">
        <v>309.85744855967073</v>
      </c>
    </row>
    <row r="53" spans="1:20" x14ac:dyDescent="0.3">
      <c r="A53" s="45" t="s">
        <v>46</v>
      </c>
      <c r="C53" s="36"/>
      <c r="D53" s="36"/>
      <c r="E53" s="145"/>
      <c r="F53" s="145"/>
      <c r="G53" s="37"/>
      <c r="H53" s="37"/>
      <c r="I53" s="21"/>
      <c r="J53" s="21"/>
      <c r="L53" s="141">
        <v>13401</v>
      </c>
      <c r="M53" t="s">
        <v>4</v>
      </c>
      <c r="N53" t="s">
        <v>62</v>
      </c>
      <c r="O53" t="s">
        <v>63</v>
      </c>
      <c r="P53" s="142" t="s">
        <v>159</v>
      </c>
      <c r="Q53">
        <v>28000</v>
      </c>
      <c r="R53">
        <v>10000</v>
      </c>
      <c r="S53">
        <v>20000</v>
      </c>
      <c r="T53">
        <v>14000</v>
      </c>
    </row>
    <row r="54" spans="1:20" x14ac:dyDescent="0.3">
      <c r="A54" t="s">
        <v>47</v>
      </c>
      <c r="B54">
        <v>13201</v>
      </c>
      <c r="C54" s="36">
        <v>20000</v>
      </c>
      <c r="D54" s="36">
        <v>14000</v>
      </c>
      <c r="E54" s="145"/>
      <c r="F54" s="145"/>
      <c r="G54" s="37"/>
      <c r="H54" s="37"/>
      <c r="I54" s="21"/>
      <c r="J54" s="21"/>
      <c r="L54" s="141">
        <v>13402</v>
      </c>
      <c r="M54" t="s">
        <v>4</v>
      </c>
      <c r="N54" t="s">
        <v>62</v>
      </c>
      <c r="O54" t="s">
        <v>64</v>
      </c>
      <c r="P54" s="142" t="s">
        <v>160</v>
      </c>
      <c r="Q54">
        <v>13066.666666666666</v>
      </c>
      <c r="R54">
        <v>4666.666666666667</v>
      </c>
      <c r="S54">
        <v>9333.3333333333339</v>
      </c>
      <c r="T54">
        <v>6533.333333333333</v>
      </c>
    </row>
    <row r="55" spans="1:20" x14ac:dyDescent="0.3">
      <c r="A55" t="s">
        <v>48</v>
      </c>
      <c r="B55">
        <v>13202</v>
      </c>
      <c r="C55" s="36">
        <v>9333.3333333333339</v>
      </c>
      <c r="D55" s="36">
        <v>6533.333333333333</v>
      </c>
      <c r="E55" s="145"/>
      <c r="F55" s="145"/>
      <c r="G55" s="37"/>
      <c r="H55" s="37"/>
      <c r="I55" s="21"/>
      <c r="J55" s="21"/>
      <c r="L55" s="141">
        <v>13403</v>
      </c>
      <c r="M55" t="s">
        <v>4</v>
      </c>
      <c r="N55" t="s">
        <v>62</v>
      </c>
      <c r="O55" t="s">
        <v>65</v>
      </c>
      <c r="P55" s="142" t="s">
        <v>161</v>
      </c>
      <c r="Q55">
        <v>6097.7777777777774</v>
      </c>
      <c r="R55">
        <v>2177.7777777777778</v>
      </c>
      <c r="S55">
        <v>4355.5555555555557</v>
      </c>
      <c r="T55">
        <v>3048.8888888888887</v>
      </c>
    </row>
    <row r="56" spans="1:20" x14ac:dyDescent="0.3">
      <c r="A56" t="s">
        <v>49</v>
      </c>
      <c r="B56">
        <v>13203</v>
      </c>
      <c r="C56" s="36">
        <v>4355.5555555555557</v>
      </c>
      <c r="D56" s="36">
        <v>3048.8888888888887</v>
      </c>
      <c r="E56" s="145"/>
      <c r="F56" s="145"/>
      <c r="G56" s="37"/>
      <c r="H56" s="37"/>
      <c r="I56" s="21"/>
      <c r="J56" s="21"/>
      <c r="L56" s="141">
        <v>13404</v>
      </c>
      <c r="M56" t="s">
        <v>4</v>
      </c>
      <c r="N56" t="s">
        <v>62</v>
      </c>
      <c r="O56" t="s">
        <v>66</v>
      </c>
      <c r="P56" s="142" t="s">
        <v>162</v>
      </c>
      <c r="Q56">
        <v>2845.6296296296291</v>
      </c>
      <c r="R56">
        <v>1016.2962962962962</v>
      </c>
      <c r="S56">
        <v>2032.5925925925924</v>
      </c>
      <c r="T56">
        <v>1422.8148148148146</v>
      </c>
    </row>
    <row r="57" spans="1:20" x14ac:dyDescent="0.3">
      <c r="A57" t="s">
        <v>50</v>
      </c>
      <c r="B57">
        <v>13204</v>
      </c>
      <c r="C57" s="36">
        <v>2032.5925925925924</v>
      </c>
      <c r="D57" s="36">
        <v>1422.8148148148146</v>
      </c>
      <c r="E57" s="145"/>
      <c r="F57" s="145"/>
      <c r="G57" s="37"/>
      <c r="H57" s="37"/>
      <c r="I57" s="21"/>
      <c r="J57" s="21"/>
      <c r="L57" s="141">
        <v>13405</v>
      </c>
      <c r="M57" t="s">
        <v>4</v>
      </c>
      <c r="N57" t="s">
        <v>62</v>
      </c>
      <c r="O57" t="s">
        <v>67</v>
      </c>
      <c r="P57" s="142" t="s">
        <v>163</v>
      </c>
      <c r="Q57">
        <v>1327.9604938271602</v>
      </c>
      <c r="R57">
        <v>474.27160493827154</v>
      </c>
      <c r="S57">
        <v>948.54320987654307</v>
      </c>
      <c r="T57">
        <v>663.98024691358012</v>
      </c>
    </row>
    <row r="58" spans="1:20" x14ac:dyDescent="0.3">
      <c r="A58" t="s">
        <v>51</v>
      </c>
      <c r="B58">
        <v>13205</v>
      </c>
      <c r="C58" s="38">
        <v>948.54320987654307</v>
      </c>
      <c r="D58" s="38">
        <v>663.98024691358012</v>
      </c>
      <c r="E58" s="147"/>
      <c r="F58" s="147"/>
      <c r="G58" s="39"/>
      <c r="H58" s="39"/>
      <c r="I58" s="21"/>
      <c r="J58" s="21"/>
      <c r="L58" s="141">
        <v>13406</v>
      </c>
      <c r="M58" t="s">
        <v>4</v>
      </c>
      <c r="N58" t="s">
        <v>62</v>
      </c>
      <c r="O58" t="s">
        <v>68</v>
      </c>
      <c r="P58" s="142" t="s">
        <v>164</v>
      </c>
      <c r="Q58">
        <v>619.71489711934146</v>
      </c>
      <c r="R58">
        <v>221.32674897119338</v>
      </c>
      <c r="S58">
        <v>442.65349794238676</v>
      </c>
      <c r="T58">
        <v>309.85744855967073</v>
      </c>
    </row>
    <row r="59" spans="1:20" x14ac:dyDescent="0.3">
      <c r="A59" t="s">
        <v>52</v>
      </c>
      <c r="B59">
        <v>13206</v>
      </c>
      <c r="C59" s="38">
        <v>442.65349794238676</v>
      </c>
      <c r="D59" s="38">
        <v>309.85744855967073</v>
      </c>
      <c r="E59" s="147"/>
      <c r="F59" s="147"/>
      <c r="G59" s="39"/>
      <c r="H59" s="39"/>
      <c r="I59" s="21"/>
      <c r="J59" s="21"/>
      <c r="L59" s="141">
        <v>13407</v>
      </c>
      <c r="M59" t="s">
        <v>4</v>
      </c>
      <c r="N59" t="s">
        <v>62</v>
      </c>
      <c r="O59" t="s">
        <v>69</v>
      </c>
      <c r="P59" s="142" t="s">
        <v>165</v>
      </c>
      <c r="Q59">
        <v>28000</v>
      </c>
      <c r="R59">
        <v>10000</v>
      </c>
      <c r="S59">
        <v>20000</v>
      </c>
      <c r="T59">
        <v>14000</v>
      </c>
    </row>
    <row r="60" spans="1:20" x14ac:dyDescent="0.3">
      <c r="A60" t="s">
        <v>53</v>
      </c>
      <c r="B60">
        <v>13207</v>
      </c>
      <c r="C60" s="38">
        <v>20000</v>
      </c>
      <c r="D60" s="38">
        <v>14000</v>
      </c>
      <c r="E60" s="147"/>
      <c r="F60" s="147"/>
      <c r="G60" s="39"/>
      <c r="H60" s="39"/>
      <c r="I60" s="21"/>
      <c r="J60" s="21"/>
      <c r="L60" s="141">
        <v>13499</v>
      </c>
      <c r="M60" t="s">
        <v>4</v>
      </c>
      <c r="N60" t="s">
        <v>62</v>
      </c>
      <c r="O60" t="s">
        <v>70</v>
      </c>
      <c r="P60" s="142" t="s">
        <v>166</v>
      </c>
      <c r="Q60">
        <v>13066.666666666666</v>
      </c>
      <c r="R60">
        <v>4666.666666666667</v>
      </c>
      <c r="S60">
        <v>9333.3333333333339</v>
      </c>
      <c r="T60">
        <v>6533.333333333333</v>
      </c>
    </row>
    <row r="61" spans="1:20" x14ac:dyDescent="0.3">
      <c r="A61" t="s">
        <v>54</v>
      </c>
      <c r="B61">
        <v>13208</v>
      </c>
      <c r="C61" s="38">
        <v>9333.3333333333339</v>
      </c>
      <c r="D61" s="38">
        <v>6533.333333333333</v>
      </c>
      <c r="E61" s="147"/>
      <c r="F61" s="147"/>
      <c r="G61" s="39"/>
      <c r="H61" s="39"/>
      <c r="I61" s="21"/>
      <c r="J61" s="21"/>
      <c r="L61" s="141">
        <v>13500</v>
      </c>
      <c r="M61" t="s">
        <v>4</v>
      </c>
      <c r="N61" t="s">
        <v>71</v>
      </c>
      <c r="O61" t="s">
        <v>72</v>
      </c>
      <c r="P61" s="142" t="s">
        <v>167</v>
      </c>
      <c r="Q61">
        <v>6097.7777777777774</v>
      </c>
      <c r="R61">
        <v>2177.7777777777778</v>
      </c>
      <c r="S61">
        <v>4355.5555555555557</v>
      </c>
      <c r="T61">
        <v>3048.8888888888887</v>
      </c>
    </row>
    <row r="62" spans="1:20" ht="15" thickBot="1" x14ac:dyDescent="0.35">
      <c r="A62" s="40" t="s">
        <v>55</v>
      </c>
      <c r="B62" s="40"/>
      <c r="C62" s="41">
        <f>SUM(C54:C61)</f>
        <v>66446.011522633751</v>
      </c>
      <c r="D62" s="41">
        <f>SUM(D54:D61)</f>
        <v>46512.208065843617</v>
      </c>
      <c r="E62" s="144"/>
      <c r="F62" s="144"/>
      <c r="G62" s="42"/>
      <c r="H62" s="42"/>
      <c r="I62" s="131"/>
      <c r="J62" s="131"/>
      <c r="L62" s="141">
        <v>13501</v>
      </c>
      <c r="M62" t="s">
        <v>4</v>
      </c>
      <c r="N62" t="s">
        <v>71</v>
      </c>
      <c r="O62" t="s">
        <v>73</v>
      </c>
      <c r="P62" s="142" t="s">
        <v>168</v>
      </c>
      <c r="Q62">
        <v>2845.6296296296291</v>
      </c>
      <c r="R62">
        <v>1016.2962962962962</v>
      </c>
      <c r="S62">
        <v>2032.5925925925924</v>
      </c>
      <c r="T62">
        <v>1422.8148148148146</v>
      </c>
    </row>
    <row r="63" spans="1:20" ht="15" thickTop="1" x14ac:dyDescent="0.3">
      <c r="C63" s="38"/>
      <c r="D63" s="38"/>
      <c r="E63" s="147"/>
      <c r="F63" s="147"/>
      <c r="G63" s="39"/>
      <c r="H63" s="39"/>
      <c r="I63" s="21"/>
      <c r="J63" s="21"/>
      <c r="L63" s="141">
        <v>13502</v>
      </c>
      <c r="M63" t="s">
        <v>4</v>
      </c>
      <c r="N63" t="s">
        <v>71</v>
      </c>
      <c r="O63" t="s">
        <v>74</v>
      </c>
      <c r="P63" s="142" t="s">
        <v>169</v>
      </c>
      <c r="Q63">
        <v>1327.9604938271602</v>
      </c>
      <c r="R63">
        <v>474.27160493827154</v>
      </c>
      <c r="S63">
        <v>948.54320987654307</v>
      </c>
      <c r="T63">
        <v>663.98024691358012</v>
      </c>
    </row>
    <row r="64" spans="1:20" ht="15" thickBot="1" x14ac:dyDescent="0.35">
      <c r="A64" s="40" t="s">
        <v>57</v>
      </c>
      <c r="B64" s="40"/>
      <c r="C64" s="41">
        <f>C51-C62</f>
        <v>131816.63868312759</v>
      </c>
      <c r="D64" s="41">
        <f>D51-D62</f>
        <v>92271.647078189329</v>
      </c>
      <c r="E64" s="144"/>
      <c r="F64" s="144"/>
      <c r="G64" s="42"/>
      <c r="H64" s="42"/>
      <c r="I64" s="131"/>
      <c r="J64" s="131"/>
      <c r="L64" s="141">
        <v>14001</v>
      </c>
      <c r="M64" t="s">
        <v>75</v>
      </c>
      <c r="N64" t="s">
        <v>76</v>
      </c>
      <c r="O64" t="s">
        <v>77</v>
      </c>
      <c r="P64" s="142" t="s">
        <v>170</v>
      </c>
      <c r="Q64">
        <v>619.71489711934146</v>
      </c>
      <c r="R64">
        <v>221.32674897119338</v>
      </c>
      <c r="S64">
        <v>442.65349794238676</v>
      </c>
      <c r="T64">
        <v>309.85744855967073</v>
      </c>
    </row>
    <row r="65" spans="1:20" ht="15" thickTop="1" x14ac:dyDescent="0.3">
      <c r="C65" s="38"/>
      <c r="D65" s="38"/>
      <c r="E65" s="147"/>
      <c r="F65" s="147"/>
      <c r="G65" s="39"/>
      <c r="H65" s="39"/>
      <c r="I65" s="21"/>
      <c r="J65" s="21"/>
      <c r="L65" s="141">
        <v>14002</v>
      </c>
      <c r="M65" t="s">
        <v>75</v>
      </c>
      <c r="N65" t="s">
        <v>76</v>
      </c>
      <c r="O65" t="s">
        <v>24</v>
      </c>
      <c r="P65" s="142" t="s">
        <v>171</v>
      </c>
      <c r="Q65">
        <v>28000</v>
      </c>
      <c r="R65">
        <v>10000</v>
      </c>
      <c r="S65">
        <v>20000</v>
      </c>
      <c r="T65">
        <v>14000</v>
      </c>
    </row>
    <row r="66" spans="1:20" x14ac:dyDescent="0.3">
      <c r="A66" t="s">
        <v>59</v>
      </c>
      <c r="C66" s="38">
        <f>'Tax Rates'!$L$24</f>
        <v>0.26500000000000001</v>
      </c>
      <c r="D66" s="38">
        <f>'Tax Rates'!$L$24</f>
        <v>0.26500000000000001</v>
      </c>
      <c r="E66" s="147"/>
      <c r="F66" s="147"/>
      <c r="G66" s="39"/>
      <c r="H66" s="39"/>
      <c r="I66" s="21"/>
      <c r="J66" s="21"/>
      <c r="L66" s="141">
        <v>14003</v>
      </c>
      <c r="M66" t="s">
        <v>75</v>
      </c>
      <c r="N66" t="s">
        <v>76</v>
      </c>
      <c r="O66" t="s">
        <v>78</v>
      </c>
      <c r="P66" s="142" t="s">
        <v>172</v>
      </c>
      <c r="Q66">
        <v>13066.666666666666</v>
      </c>
      <c r="R66">
        <v>4666.666666666667</v>
      </c>
      <c r="S66">
        <v>9333.3333333333339</v>
      </c>
      <c r="T66">
        <v>6533.333333333333</v>
      </c>
    </row>
    <row r="67" spans="1:20" x14ac:dyDescent="0.3">
      <c r="C67" s="38"/>
      <c r="D67" s="38"/>
      <c r="E67" s="147"/>
      <c r="F67" s="147"/>
      <c r="G67" s="39"/>
      <c r="H67" s="39"/>
      <c r="I67" s="21"/>
      <c r="J67" s="21"/>
      <c r="L67" s="141">
        <v>14004</v>
      </c>
      <c r="M67" t="s">
        <v>75</v>
      </c>
      <c r="N67" t="s">
        <v>76</v>
      </c>
      <c r="O67" t="s">
        <v>22</v>
      </c>
      <c r="P67" s="142" t="s">
        <v>173</v>
      </c>
      <c r="Q67">
        <v>6097.7777777777774</v>
      </c>
      <c r="R67">
        <v>2177.7777777777778</v>
      </c>
      <c r="S67">
        <v>4355.5555555555557</v>
      </c>
      <c r="T67">
        <v>3048.8888888888887</v>
      </c>
    </row>
    <row r="68" spans="1:20" ht="15" thickBot="1" x14ac:dyDescent="0.35">
      <c r="A68" s="40" t="s">
        <v>61</v>
      </c>
      <c r="B68" s="40"/>
      <c r="C68" s="41">
        <f>C66*C64</f>
        <v>34931.40925102881</v>
      </c>
      <c r="D68" s="41">
        <f>D66*D64</f>
        <v>24451.986475720172</v>
      </c>
      <c r="E68" s="144"/>
      <c r="F68" s="144"/>
      <c r="G68" s="42"/>
      <c r="H68" s="42"/>
      <c r="I68" s="131"/>
      <c r="J68" s="131"/>
      <c r="L68" s="141">
        <v>14005</v>
      </c>
      <c r="M68" t="s">
        <v>75</v>
      </c>
      <c r="N68" t="s">
        <v>76</v>
      </c>
      <c r="O68" t="s">
        <v>35</v>
      </c>
      <c r="P68" s="142" t="s">
        <v>174</v>
      </c>
      <c r="Q68">
        <v>2845.6296296296291</v>
      </c>
      <c r="R68">
        <v>1016.2962962962962</v>
      </c>
      <c r="S68">
        <v>2032.5925925925924</v>
      </c>
      <c r="T68">
        <v>1422.8148148148146</v>
      </c>
    </row>
    <row r="69" spans="1:20" ht="15" thickTop="1" x14ac:dyDescent="0.3">
      <c r="C69" s="38"/>
      <c r="D69" s="38"/>
      <c r="E69" s="147"/>
      <c r="F69" s="147"/>
      <c r="G69" s="39"/>
      <c r="H69" s="39"/>
      <c r="I69" s="21"/>
      <c r="J69" s="21"/>
      <c r="L69" s="141">
        <v>14006</v>
      </c>
      <c r="M69" t="s">
        <v>75</v>
      </c>
      <c r="N69" t="s">
        <v>76</v>
      </c>
      <c r="O69" t="s">
        <v>36</v>
      </c>
      <c r="P69" s="142" t="s">
        <v>175</v>
      </c>
      <c r="Q69">
        <v>1327.9604938271602</v>
      </c>
      <c r="R69">
        <v>474.27160493827154</v>
      </c>
      <c r="S69">
        <v>948.54320987654307</v>
      </c>
      <c r="T69">
        <v>663.98024691358012</v>
      </c>
    </row>
    <row r="70" spans="1:20" x14ac:dyDescent="0.3">
      <c r="A70" s="45" t="s">
        <v>62</v>
      </c>
      <c r="C70" s="38"/>
      <c r="D70" s="38"/>
      <c r="E70" s="147"/>
      <c r="F70" s="147"/>
      <c r="G70" s="39"/>
      <c r="H70" s="39"/>
      <c r="I70" s="21"/>
      <c r="J70" s="21"/>
      <c r="L70" s="141">
        <v>14007</v>
      </c>
      <c r="M70" t="s">
        <v>75</v>
      </c>
      <c r="N70" t="s">
        <v>76</v>
      </c>
      <c r="O70" t="s">
        <v>37</v>
      </c>
      <c r="P70" s="142" t="s">
        <v>176</v>
      </c>
      <c r="Q70">
        <v>619.71489711934146</v>
      </c>
      <c r="R70">
        <v>221.32674897119338</v>
      </c>
      <c r="S70">
        <v>442.65349794238676</v>
      </c>
      <c r="T70">
        <v>309.85744855967073</v>
      </c>
    </row>
    <row r="71" spans="1:20" x14ac:dyDescent="0.3">
      <c r="A71" t="s">
        <v>63</v>
      </c>
      <c r="B71">
        <v>13401</v>
      </c>
      <c r="C71" s="38">
        <v>20000</v>
      </c>
      <c r="D71" s="38">
        <v>14000</v>
      </c>
      <c r="E71" s="147"/>
      <c r="F71" s="147"/>
      <c r="G71" s="39"/>
      <c r="H71" s="39"/>
      <c r="I71" s="21"/>
      <c r="J71" s="21"/>
      <c r="L71" s="141">
        <v>14008</v>
      </c>
      <c r="M71" t="s">
        <v>75</v>
      </c>
      <c r="N71" t="s">
        <v>76</v>
      </c>
      <c r="O71" t="s">
        <v>79</v>
      </c>
      <c r="P71" s="142" t="s">
        <v>177</v>
      </c>
      <c r="Q71">
        <v>28000</v>
      </c>
      <c r="R71">
        <v>10000</v>
      </c>
      <c r="S71">
        <v>20000</v>
      </c>
      <c r="T71">
        <v>14000</v>
      </c>
    </row>
    <row r="72" spans="1:20" x14ac:dyDescent="0.3">
      <c r="A72" t="s">
        <v>64</v>
      </c>
      <c r="B72">
        <v>13402</v>
      </c>
      <c r="C72" s="38">
        <v>9333.3333333333339</v>
      </c>
      <c r="D72" s="38">
        <v>6533.333333333333</v>
      </c>
      <c r="E72" s="147"/>
      <c r="F72" s="147"/>
      <c r="G72" s="39"/>
      <c r="H72" s="39"/>
      <c r="I72" s="21"/>
      <c r="J72" s="21"/>
      <c r="L72" s="141">
        <v>14009</v>
      </c>
      <c r="M72" t="s">
        <v>75</v>
      </c>
      <c r="N72" t="s">
        <v>76</v>
      </c>
      <c r="O72" t="s">
        <v>80</v>
      </c>
      <c r="P72" s="142" t="s">
        <v>178</v>
      </c>
      <c r="Q72">
        <v>13066.666666666666</v>
      </c>
      <c r="R72">
        <v>4666.666666666667</v>
      </c>
      <c r="S72">
        <v>9333.3333333333339</v>
      </c>
      <c r="T72">
        <v>6533.333333333333</v>
      </c>
    </row>
    <row r="73" spans="1:20" x14ac:dyDescent="0.3">
      <c r="A73" t="s">
        <v>65</v>
      </c>
      <c r="B73">
        <v>13403</v>
      </c>
      <c r="C73" s="38">
        <v>4355.5555555555557</v>
      </c>
      <c r="D73" s="38">
        <v>3048.8888888888887</v>
      </c>
      <c r="E73" s="147"/>
      <c r="F73" s="147"/>
      <c r="G73" s="39"/>
      <c r="H73" s="39"/>
      <c r="I73" s="21"/>
      <c r="J73" s="21"/>
      <c r="L73" s="141">
        <v>14010</v>
      </c>
      <c r="M73" t="s">
        <v>75</v>
      </c>
      <c r="N73" t="s">
        <v>76</v>
      </c>
      <c r="O73" t="s">
        <v>81</v>
      </c>
      <c r="P73" s="142" t="s">
        <v>179</v>
      </c>
      <c r="Q73">
        <v>6097.7777777777774</v>
      </c>
      <c r="R73">
        <v>2177.7777777777778</v>
      </c>
      <c r="S73">
        <v>4355.5555555555557</v>
      </c>
      <c r="T73">
        <v>3048.8888888888887</v>
      </c>
    </row>
    <row r="74" spans="1:20" x14ac:dyDescent="0.3">
      <c r="A74" t="s">
        <v>66</v>
      </c>
      <c r="B74">
        <v>13404</v>
      </c>
      <c r="C74" s="38">
        <v>2032.5925925925924</v>
      </c>
      <c r="D74" s="38">
        <v>1422.8148148148146</v>
      </c>
      <c r="E74" s="147"/>
      <c r="F74" s="147"/>
      <c r="G74" s="39"/>
      <c r="H74" s="39"/>
      <c r="I74" s="21"/>
      <c r="J74" s="21"/>
      <c r="L74" s="141">
        <v>14011</v>
      </c>
      <c r="M74" t="s">
        <v>75</v>
      </c>
      <c r="N74" t="s">
        <v>76</v>
      </c>
      <c r="O74" t="s">
        <v>82</v>
      </c>
      <c r="P74" s="142" t="s">
        <v>180</v>
      </c>
      <c r="Q74">
        <v>2845.6296296296291</v>
      </c>
      <c r="R74">
        <v>1016.2962962962962</v>
      </c>
      <c r="S74">
        <v>2032.5925925925924</v>
      </c>
      <c r="T74">
        <v>1422.8148148148146</v>
      </c>
    </row>
    <row r="75" spans="1:20" x14ac:dyDescent="0.3">
      <c r="A75" t="s">
        <v>67</v>
      </c>
      <c r="B75">
        <v>13405</v>
      </c>
      <c r="C75" s="38">
        <v>948.54320987654307</v>
      </c>
      <c r="D75" s="38">
        <v>663.98024691358012</v>
      </c>
      <c r="E75" s="147"/>
      <c r="F75" s="147"/>
      <c r="G75" s="39"/>
      <c r="H75" s="39"/>
      <c r="I75" s="21"/>
      <c r="J75" s="21"/>
      <c r="L75" s="141">
        <v>14012</v>
      </c>
      <c r="M75" t="s">
        <v>75</v>
      </c>
      <c r="N75" t="s">
        <v>76</v>
      </c>
      <c r="O75" t="s">
        <v>83</v>
      </c>
      <c r="P75" s="142" t="s">
        <v>181</v>
      </c>
      <c r="Q75">
        <v>1327.9604938271602</v>
      </c>
      <c r="R75">
        <v>474.27160493827154</v>
      </c>
      <c r="S75">
        <v>948.54320987654307</v>
      </c>
      <c r="T75">
        <v>663.98024691358012</v>
      </c>
    </row>
    <row r="76" spans="1:20" x14ac:dyDescent="0.3">
      <c r="A76" t="s">
        <v>68</v>
      </c>
      <c r="B76">
        <v>13406</v>
      </c>
      <c r="C76" s="38">
        <v>442.65349794238676</v>
      </c>
      <c r="D76" s="38">
        <v>309.85744855967073</v>
      </c>
      <c r="E76" s="147"/>
      <c r="F76" s="147"/>
      <c r="G76" s="39"/>
      <c r="H76" s="39"/>
      <c r="I76" s="21"/>
      <c r="J76" s="21"/>
      <c r="L76" s="141">
        <v>14013</v>
      </c>
      <c r="M76" t="s">
        <v>75</v>
      </c>
      <c r="N76" t="s">
        <v>76</v>
      </c>
      <c r="O76" t="s">
        <v>84</v>
      </c>
      <c r="P76" s="142" t="s">
        <v>182</v>
      </c>
      <c r="Q76">
        <v>619.71489711934146</v>
      </c>
      <c r="R76">
        <v>221.32674897119338</v>
      </c>
      <c r="S76">
        <v>442.65349794238676</v>
      </c>
      <c r="T76">
        <v>309.85744855967073</v>
      </c>
    </row>
    <row r="77" spans="1:20" x14ac:dyDescent="0.3">
      <c r="A77" t="s">
        <v>69</v>
      </c>
      <c r="B77">
        <v>13407</v>
      </c>
      <c r="C77" s="38">
        <v>20000</v>
      </c>
      <c r="D77" s="38">
        <v>14000</v>
      </c>
      <c r="E77" s="147"/>
      <c r="F77" s="147"/>
      <c r="G77" s="39"/>
      <c r="H77" s="39"/>
      <c r="I77" s="21"/>
      <c r="J77" s="21"/>
      <c r="L77" s="141">
        <v>14014</v>
      </c>
      <c r="M77" t="s">
        <v>75</v>
      </c>
      <c r="N77" t="s">
        <v>76</v>
      </c>
      <c r="O77" t="s">
        <v>85</v>
      </c>
      <c r="P77" s="142" t="s">
        <v>183</v>
      </c>
      <c r="Q77">
        <v>28000</v>
      </c>
      <c r="R77">
        <v>10000</v>
      </c>
      <c r="S77">
        <v>20000</v>
      </c>
      <c r="T77">
        <v>14000</v>
      </c>
    </row>
    <row r="78" spans="1:20" ht="15" thickBot="1" x14ac:dyDescent="0.35">
      <c r="A78" s="40" t="s">
        <v>70</v>
      </c>
      <c r="B78" s="40"/>
      <c r="C78" s="41">
        <f>SUM(C71:C77)</f>
        <v>57112.678189300415</v>
      </c>
      <c r="D78" s="41">
        <f>SUM(D71:D77)</f>
        <v>39978.874732510281</v>
      </c>
      <c r="E78" s="144"/>
      <c r="F78" s="144"/>
      <c r="G78" s="42"/>
      <c r="H78" s="42"/>
      <c r="I78" s="131"/>
      <c r="J78" s="131"/>
      <c r="L78" s="141">
        <v>14015</v>
      </c>
      <c r="M78" t="s">
        <v>75</v>
      </c>
      <c r="N78" t="s">
        <v>76</v>
      </c>
      <c r="O78" t="s">
        <v>86</v>
      </c>
      <c r="P78" s="142" t="s">
        <v>184</v>
      </c>
      <c r="Q78">
        <v>13066.666666666666</v>
      </c>
      <c r="R78">
        <v>4666.666666666667</v>
      </c>
      <c r="S78">
        <v>9333.3333333333339</v>
      </c>
      <c r="T78">
        <v>6533.333333333333</v>
      </c>
    </row>
    <row r="79" spans="1:20" ht="15" thickTop="1" x14ac:dyDescent="0.3">
      <c r="C79" s="38"/>
      <c r="D79" s="38"/>
      <c r="E79" s="147"/>
      <c r="F79" s="147"/>
      <c r="G79" s="39"/>
      <c r="H79" s="39"/>
      <c r="I79" s="21"/>
      <c r="J79" s="21"/>
      <c r="L79" s="141">
        <v>14099</v>
      </c>
      <c r="M79" t="s">
        <v>75</v>
      </c>
      <c r="N79" t="s">
        <v>76</v>
      </c>
      <c r="O79" t="s">
        <v>87</v>
      </c>
      <c r="P79" s="142" t="s">
        <v>185</v>
      </c>
      <c r="Q79">
        <v>6097.7777777777774</v>
      </c>
      <c r="R79">
        <v>2177.7777777777778</v>
      </c>
      <c r="S79">
        <v>4355.5555555555557</v>
      </c>
      <c r="T79">
        <v>3048.8888888888887</v>
      </c>
    </row>
    <row r="80" spans="1:20" x14ac:dyDescent="0.3">
      <c r="A80" t="s">
        <v>341</v>
      </c>
      <c r="C80" s="38">
        <f>SUM(C78,C68)</f>
        <v>92044.087440329226</v>
      </c>
      <c r="D80" s="38"/>
      <c r="E80" s="147"/>
      <c r="F80" s="147"/>
      <c r="G80" s="39"/>
      <c r="H80" s="39"/>
      <c r="I80" s="21"/>
      <c r="J80" s="21"/>
      <c r="L80" s="141">
        <v>14101</v>
      </c>
      <c r="M80" t="s">
        <v>75</v>
      </c>
      <c r="N80" t="s">
        <v>88</v>
      </c>
      <c r="O80" t="s">
        <v>89</v>
      </c>
      <c r="P80" s="142" t="s">
        <v>186</v>
      </c>
      <c r="Q80">
        <v>2845.6296296296291</v>
      </c>
      <c r="R80">
        <v>1016.2962962962962</v>
      </c>
      <c r="S80">
        <v>2032.5925925925924</v>
      </c>
      <c r="T80">
        <v>1422.8148148148146</v>
      </c>
    </row>
    <row r="81" spans="1:20" x14ac:dyDescent="0.3">
      <c r="A81" t="s">
        <v>73</v>
      </c>
      <c r="B81">
        <v>13501</v>
      </c>
      <c r="C81" s="38">
        <v>2032.5925925925924</v>
      </c>
      <c r="D81" s="38">
        <v>1422.8148148148146</v>
      </c>
      <c r="E81" s="147"/>
      <c r="F81" s="147"/>
      <c r="G81" s="39"/>
      <c r="H81" s="39"/>
      <c r="I81" s="132"/>
      <c r="J81" s="21"/>
      <c r="L81" s="141">
        <v>14102</v>
      </c>
      <c r="M81" t="s">
        <v>75</v>
      </c>
      <c r="N81" t="s">
        <v>88</v>
      </c>
      <c r="O81" t="s">
        <v>90</v>
      </c>
      <c r="P81" s="142" t="s">
        <v>187</v>
      </c>
      <c r="Q81">
        <v>1327.9604938271602</v>
      </c>
      <c r="R81">
        <v>474.27160493827154</v>
      </c>
      <c r="S81">
        <v>948.54320987654307</v>
      </c>
      <c r="T81">
        <v>663.98024691358012</v>
      </c>
    </row>
    <row r="82" spans="1:20" ht="15" thickBot="1" x14ac:dyDescent="0.35">
      <c r="A82" s="40" t="s">
        <v>74</v>
      </c>
      <c r="B82" s="40"/>
      <c r="C82" s="41">
        <f>C81-C80</f>
        <v>-90011.494847736627</v>
      </c>
      <c r="D82" s="41">
        <f>D81-D80</f>
        <v>1422.8148148148146</v>
      </c>
      <c r="E82" s="144"/>
      <c r="F82" s="144"/>
      <c r="G82" s="42"/>
      <c r="H82" s="42"/>
      <c r="I82" s="131"/>
      <c r="J82" s="131"/>
      <c r="L82" s="141">
        <v>14103</v>
      </c>
      <c r="M82" t="s">
        <v>75</v>
      </c>
      <c r="N82" t="s">
        <v>88</v>
      </c>
      <c r="O82" t="s">
        <v>91</v>
      </c>
      <c r="P82" s="142" t="s">
        <v>188</v>
      </c>
      <c r="Q82">
        <v>619.71489711934146</v>
      </c>
      <c r="R82">
        <v>221.32674897119338</v>
      </c>
      <c r="S82">
        <v>442.65349794238676</v>
      </c>
      <c r="T82">
        <v>309.85744855967073</v>
      </c>
    </row>
    <row r="83" spans="1:20" ht="15" thickTop="1" x14ac:dyDescent="0.3">
      <c r="L83" s="141">
        <v>14104</v>
      </c>
      <c r="M83" t="s">
        <v>75</v>
      </c>
      <c r="N83" t="s">
        <v>88</v>
      </c>
      <c r="O83" t="s">
        <v>92</v>
      </c>
      <c r="P83" s="142" t="s">
        <v>189</v>
      </c>
      <c r="Q83">
        <v>28000</v>
      </c>
      <c r="R83">
        <v>10000</v>
      </c>
      <c r="S83">
        <v>20000</v>
      </c>
      <c r="T83">
        <v>14000</v>
      </c>
    </row>
    <row r="84" spans="1:20" x14ac:dyDescent="0.3">
      <c r="L84" s="141">
        <v>14105</v>
      </c>
      <c r="M84" t="s">
        <v>75</v>
      </c>
      <c r="N84" t="s">
        <v>88</v>
      </c>
      <c r="O84" t="s">
        <v>93</v>
      </c>
      <c r="P84" s="142" t="s">
        <v>190</v>
      </c>
      <c r="Q84">
        <v>13066.666666666666</v>
      </c>
      <c r="R84">
        <v>4666.666666666667</v>
      </c>
      <c r="S84">
        <v>9333.3333333333339</v>
      </c>
      <c r="T84">
        <v>6533.333333333333</v>
      </c>
    </row>
    <row r="85" spans="1:20" x14ac:dyDescent="0.3">
      <c r="L85" s="141">
        <v>14106</v>
      </c>
      <c r="M85" t="s">
        <v>75</v>
      </c>
      <c r="N85" t="s">
        <v>88</v>
      </c>
      <c r="O85" t="s">
        <v>94</v>
      </c>
      <c r="P85" s="142" t="s">
        <v>191</v>
      </c>
      <c r="Q85">
        <v>6097.7777777777774</v>
      </c>
      <c r="R85">
        <v>2177.7777777777778</v>
      </c>
      <c r="S85">
        <v>4355.5555555555557</v>
      </c>
      <c r="T85">
        <v>3048.8888888888887</v>
      </c>
    </row>
    <row r="86" spans="1:20" x14ac:dyDescent="0.3">
      <c r="L86" s="141">
        <v>14107</v>
      </c>
      <c r="M86" t="s">
        <v>75</v>
      </c>
      <c r="N86" t="s">
        <v>88</v>
      </c>
      <c r="O86" t="s">
        <v>95</v>
      </c>
      <c r="P86" s="142" t="s">
        <v>192</v>
      </c>
      <c r="Q86">
        <v>2845.6296296296291</v>
      </c>
      <c r="R86">
        <v>1016.2962962962962</v>
      </c>
      <c r="S86">
        <v>2032.5925925925924</v>
      </c>
      <c r="T86">
        <v>1422.8148148148146</v>
      </c>
    </row>
    <row r="87" spans="1:20" x14ac:dyDescent="0.3">
      <c r="L87" s="141">
        <v>14199</v>
      </c>
      <c r="M87" t="s">
        <v>75</v>
      </c>
      <c r="N87" t="s">
        <v>88</v>
      </c>
      <c r="O87" t="s">
        <v>96</v>
      </c>
      <c r="P87" s="142" t="s">
        <v>193</v>
      </c>
      <c r="Q87">
        <v>1327.9604938271602</v>
      </c>
      <c r="R87">
        <v>474.27160493827154</v>
      </c>
      <c r="S87">
        <v>948.54320987654307</v>
      </c>
      <c r="T87">
        <v>663.98024691358012</v>
      </c>
    </row>
    <row r="88" spans="1:20" x14ac:dyDescent="0.3">
      <c r="L88" s="141">
        <v>14200</v>
      </c>
      <c r="M88" t="s">
        <v>75</v>
      </c>
      <c r="N88" t="s">
        <v>97</v>
      </c>
      <c r="O88" t="s">
        <v>98</v>
      </c>
      <c r="P88" s="142" t="s">
        <v>194</v>
      </c>
      <c r="Q88">
        <v>619.71489711934146</v>
      </c>
      <c r="R88">
        <v>221.32674897119338</v>
      </c>
      <c r="S88">
        <v>442.65349794238676</v>
      </c>
      <c r="T88">
        <v>309.85744855967073</v>
      </c>
    </row>
    <row r="89" spans="1:20" x14ac:dyDescent="0.3">
      <c r="L89" s="141">
        <v>14201</v>
      </c>
      <c r="M89" t="s">
        <v>75</v>
      </c>
      <c r="N89" t="s">
        <v>99</v>
      </c>
      <c r="O89" t="s">
        <v>100</v>
      </c>
      <c r="P89" s="142" t="s">
        <v>195</v>
      </c>
      <c r="Q89">
        <v>28000</v>
      </c>
      <c r="R89">
        <v>10000</v>
      </c>
      <c r="S89">
        <v>20000</v>
      </c>
      <c r="T89">
        <v>14000</v>
      </c>
    </row>
    <row r="90" spans="1:20" x14ac:dyDescent="0.3">
      <c r="L90" s="141">
        <v>14299</v>
      </c>
      <c r="M90" t="s">
        <v>75</v>
      </c>
      <c r="N90" t="s">
        <v>99</v>
      </c>
      <c r="O90" t="s">
        <v>101</v>
      </c>
      <c r="P90" s="142" t="s">
        <v>196</v>
      </c>
      <c r="Q90">
        <v>13066.666666666666</v>
      </c>
      <c r="R90">
        <v>4666.666666666667</v>
      </c>
      <c r="S90">
        <v>9333.3333333333339</v>
      </c>
      <c r="T90">
        <v>6533.333333333333</v>
      </c>
    </row>
    <row r="91" spans="1:20" x14ac:dyDescent="0.3">
      <c r="L91" s="141">
        <v>14301</v>
      </c>
      <c r="M91" t="s">
        <v>75</v>
      </c>
      <c r="N91" t="s">
        <v>102</v>
      </c>
      <c r="O91" t="s">
        <v>103</v>
      </c>
      <c r="P91" s="142" t="s">
        <v>197</v>
      </c>
      <c r="Q91">
        <v>6097.7777777777774</v>
      </c>
      <c r="R91">
        <v>2177.7777777777778</v>
      </c>
      <c r="S91">
        <v>4355.5555555555557</v>
      </c>
      <c r="T91">
        <v>3048.8888888888887</v>
      </c>
    </row>
    <row r="92" spans="1:20" x14ac:dyDescent="0.3">
      <c r="L92" s="141">
        <v>14399</v>
      </c>
      <c r="M92" t="s">
        <v>75</v>
      </c>
      <c r="N92" t="s">
        <v>102</v>
      </c>
      <c r="O92" t="s">
        <v>104</v>
      </c>
      <c r="P92" s="142" t="s">
        <v>198</v>
      </c>
      <c r="Q92">
        <v>2845.6296296296291</v>
      </c>
      <c r="R92">
        <v>1016.2962962962962</v>
      </c>
      <c r="S92">
        <v>2032.5925925925924</v>
      </c>
      <c r="T92">
        <v>1422.8148148148146</v>
      </c>
    </row>
    <row r="93" spans="1:20" x14ac:dyDescent="0.3">
      <c r="L93" s="141">
        <v>14400</v>
      </c>
      <c r="M93" t="s">
        <v>75</v>
      </c>
      <c r="N93" t="s">
        <v>105</v>
      </c>
      <c r="O93" t="s">
        <v>106</v>
      </c>
      <c r="P93" s="142" t="s">
        <v>199</v>
      </c>
      <c r="Q93">
        <v>1327.9604938271602</v>
      </c>
      <c r="R93">
        <v>474.27160493827154</v>
      </c>
      <c r="S93">
        <v>948.54320987654307</v>
      </c>
      <c r="T93">
        <v>663.98024691358012</v>
      </c>
    </row>
    <row r="94" spans="1:20" x14ac:dyDescent="0.3">
      <c r="L94" s="141">
        <v>14401</v>
      </c>
      <c r="M94" t="s">
        <v>75</v>
      </c>
      <c r="N94" t="s">
        <v>107</v>
      </c>
      <c r="O94" t="s">
        <v>108</v>
      </c>
      <c r="P94" s="142" t="s">
        <v>200</v>
      </c>
      <c r="Q94">
        <v>619.71489711934146</v>
      </c>
      <c r="R94">
        <v>221.32674897119338</v>
      </c>
      <c r="S94">
        <v>442.65349794238676</v>
      </c>
      <c r="T94">
        <v>309.85744855967073</v>
      </c>
    </row>
    <row r="95" spans="1:20" x14ac:dyDescent="0.3">
      <c r="L95" s="141"/>
      <c r="P95" s="142"/>
    </row>
    <row r="96" spans="1:20" x14ac:dyDescent="0.3">
      <c r="L96" s="141"/>
      <c r="P96" s="142"/>
    </row>
    <row r="97" spans="12:16" x14ac:dyDescent="0.3">
      <c r="L97" s="141"/>
      <c r="P97" s="142"/>
    </row>
  </sheetData>
  <mergeCells count="3">
    <mergeCell ref="I6:J6"/>
    <mergeCell ref="C7:D7"/>
    <mergeCell ref="F7:G7"/>
  </mergeCells>
  <conditionalFormatting sqref="I7:J82">
    <cfRule type="expression" dxfId="240" priority="18">
      <formula>$A7&lt;&gt;""</formula>
    </cfRule>
  </conditionalFormatting>
  <conditionalFormatting sqref="A2:F5 H7:J7 F7 A8:J82">
    <cfRule type="expression" dxfId="239" priority="18">
      <formula>$A2 = 13500</formula>
    </cfRule>
    <cfRule type="expression" dxfId="238" priority="19">
      <formula>$A2 = 13499</formula>
    </cfRule>
    <cfRule type="expression" dxfId="237" priority="20">
      <formula>$A2 = 13302</formula>
    </cfRule>
    <cfRule type="expression" dxfId="236" priority="21">
      <formula>#REF! = "Other"</formula>
    </cfRule>
    <cfRule type="expression" dxfId="235" priority="22">
      <formula>#REF! = "Difference"</formula>
    </cfRule>
    <cfRule type="expression" dxfId="234" priority="23">
      <formula>#REF! = "Net Operating Losses"</formula>
    </cfRule>
    <cfRule type="expression" dxfId="233" priority="24">
      <formula>#REF! = "Temporary Items"</formula>
    </cfRule>
    <cfRule type="expression" dxfId="232" priority="25">
      <formula>#REF! = "Permanent Items"</formula>
    </cfRule>
    <cfRule type="expression" dxfId="231" priority="26">
      <formula>$A2 = 13300</formula>
    </cfRule>
    <cfRule type="expression" dxfId="230" priority="27">
      <formula>$A2 = 13299</formula>
    </cfRule>
    <cfRule type="expression" dxfId="229" priority="28">
      <formula>$A2 = 13103</formula>
    </cfRule>
    <cfRule type="expression" dxfId="228" priority="29">
      <formula>$A2 = 13101</formula>
    </cfRule>
    <cfRule type="expression" dxfId="227" priority="30">
      <formula>$A2 = 13100</formula>
    </cfRule>
    <cfRule type="expression" dxfId="226" priority="31">
      <formula>$A2 = 13010</formula>
    </cfRule>
    <cfRule type="expression" dxfId="225" priority="32">
      <formula>$A2 = 12999</formula>
    </cfRule>
    <cfRule type="expression" dxfId="224" priority="33">
      <formula>$A2 = 11999</formula>
    </cfRule>
    <cfRule type="expression" dxfId="223" priority="34">
      <formula>$A2 = 10999</formula>
    </cfRule>
  </conditionalFormatting>
  <conditionalFormatting sqref="I2:J5">
    <cfRule type="expression" dxfId="222" priority="20">
      <formula>#REF!&lt;&gt;""</formula>
    </cfRule>
  </conditionalFormatting>
  <conditionalFormatting sqref="G2:J5">
    <cfRule type="expression" dxfId="221" priority="21">
      <formula>#REF! = 13500</formula>
    </cfRule>
    <cfRule type="expression" dxfId="220" priority="22">
      <formula>#REF! = 13499</formula>
    </cfRule>
    <cfRule type="expression" dxfId="219" priority="23">
      <formula>#REF! = 13302</formula>
    </cfRule>
    <cfRule type="expression" dxfId="218" priority="24">
      <formula>#REF! = "Other"</formula>
    </cfRule>
    <cfRule type="expression" dxfId="217" priority="25">
      <formula>#REF! = "Difference"</formula>
    </cfRule>
    <cfRule type="expression" dxfId="216" priority="26">
      <formula>#REF! = "Net Operating Losses"</formula>
    </cfRule>
    <cfRule type="expression" dxfId="215" priority="27">
      <formula>#REF! = "Temporary Items"</formula>
    </cfRule>
    <cfRule type="expression" dxfId="214" priority="28">
      <formula>#REF! = "Permanent Items"</formula>
    </cfRule>
    <cfRule type="expression" dxfId="213" priority="29">
      <formula>#REF! = 13300</formula>
    </cfRule>
    <cfRule type="expression" dxfId="212" priority="30">
      <formula>#REF! = 13299</formula>
    </cfRule>
    <cfRule type="expression" dxfId="211" priority="31">
      <formula>#REF! = 13103</formula>
    </cfRule>
    <cfRule type="expression" dxfId="210" priority="32">
      <formula>#REF! = 13101</formula>
    </cfRule>
    <cfRule type="expression" dxfId="209" priority="33">
      <formula>#REF! = 13100</formula>
    </cfRule>
    <cfRule type="expression" dxfId="208" priority="34">
      <formula>#REF! = 13010</formula>
    </cfRule>
    <cfRule type="expression" dxfId="207" priority="35">
      <formula>#REF! = 12999</formula>
    </cfRule>
    <cfRule type="expression" dxfId="206" priority="36">
      <formula>#REF! = 11999</formula>
    </cfRule>
    <cfRule type="expression" dxfId="205" priority="37">
      <formula>#REF! = 10999</formula>
    </cfRule>
  </conditionalFormatting>
  <conditionalFormatting sqref="A7:C7">
    <cfRule type="expression" dxfId="204" priority="38">
      <formula>$A7 = 13500</formula>
    </cfRule>
    <cfRule type="expression" dxfId="203" priority="39">
      <formula>$A7 = 13499</formula>
    </cfRule>
    <cfRule type="expression" dxfId="202" priority="40">
      <formula>$A7 = 13302</formula>
    </cfRule>
    <cfRule type="expression" dxfId="201" priority="41">
      <formula>#REF! = "Other"</formula>
    </cfRule>
    <cfRule type="expression" dxfId="200" priority="42">
      <formula>#REF! = "Difference"</formula>
    </cfRule>
    <cfRule type="expression" dxfId="199" priority="43">
      <formula>#REF! = "Net Operating Losses"</formula>
    </cfRule>
    <cfRule type="expression" dxfId="198" priority="44">
      <formula>#REF! = "Temporary Items"</formula>
    </cfRule>
    <cfRule type="expression" dxfId="197" priority="45">
      <formula>#REF! = "Permanent Items"</formula>
    </cfRule>
    <cfRule type="expression" dxfId="196" priority="46">
      <formula>$A7 = 13300</formula>
    </cfRule>
    <cfRule type="expression" dxfId="195" priority="47">
      <formula>$A7 = 13299</formula>
    </cfRule>
    <cfRule type="expression" dxfId="194" priority="48">
      <formula>$A7 = 13103</formula>
    </cfRule>
    <cfRule type="expression" dxfId="193" priority="49">
      <formula>$A7 = 13101</formula>
    </cfRule>
    <cfRule type="expression" dxfId="192" priority="50">
      <formula>$A7 = 13100</formula>
    </cfRule>
    <cfRule type="expression" dxfId="191" priority="51">
      <formula>$A7 = 13010</formula>
    </cfRule>
    <cfRule type="expression" dxfId="190" priority="52">
      <formula>$A7 = 12999</formula>
    </cfRule>
    <cfRule type="expression" dxfId="189" priority="53">
      <formula>$A7 = 11999</formula>
    </cfRule>
    <cfRule type="expression" dxfId="188" priority="54">
      <formula>$A7 = 10999</formula>
    </cfRule>
  </conditionalFormatting>
  <conditionalFormatting sqref="A1">
    <cfRule type="expression" dxfId="187" priority="1">
      <formula>$A1 = 13500</formula>
    </cfRule>
    <cfRule type="expression" dxfId="186" priority="2">
      <formula>$A1 = 13499</formula>
    </cfRule>
    <cfRule type="expression" dxfId="185" priority="3">
      <formula>$A1 = 13302</formula>
    </cfRule>
    <cfRule type="expression" dxfId="184" priority="4">
      <formula>#REF! = "Other"</formula>
    </cfRule>
    <cfRule type="expression" dxfId="183" priority="5">
      <formula>#REF! = "Difference"</formula>
    </cfRule>
    <cfRule type="expression" dxfId="182" priority="6">
      <formula>#REF! = "Net Operating Losses"</formula>
    </cfRule>
    <cfRule type="expression" dxfId="181" priority="7">
      <formula>#REF! = "Temporary Items"</formula>
    </cfRule>
    <cfRule type="expression" dxfId="180" priority="8">
      <formula>#REF! = "Permanent Items"</formula>
    </cfRule>
    <cfRule type="expression" dxfId="179" priority="9">
      <formula>$A1 = 13300</formula>
    </cfRule>
    <cfRule type="expression" dxfId="178" priority="10">
      <formula>$A1 = 13299</formula>
    </cfRule>
    <cfRule type="expression" dxfId="177" priority="11">
      <formula>$A1 = 13103</formula>
    </cfRule>
    <cfRule type="expression" dxfId="176" priority="12">
      <formula>$A1 = 13101</formula>
    </cfRule>
    <cfRule type="expression" dxfId="175" priority="13">
      <formula>$A1 = 13100</formula>
    </cfRule>
    <cfRule type="expression" dxfId="174" priority="14">
      <formula>$A1 = 13010</formula>
    </cfRule>
    <cfRule type="expression" dxfId="173" priority="15">
      <formula>$A1 = 12999</formula>
    </cfRule>
    <cfRule type="expression" dxfId="172" priority="16">
      <formula>$A1 = 11999</formula>
    </cfRule>
    <cfRule type="expression" dxfId="171" priority="17">
      <formula>$A1 = 10999</formula>
    </cfRule>
  </conditionalFormatting>
  <conditionalFormatting sqref="I6:J6">
    <cfRule type="expression" dxfId="170" priority="177">
      <formula>#REF!&lt;&gt;""</formula>
    </cfRule>
  </conditionalFormatting>
  <conditionalFormatting sqref="G6:J6">
    <cfRule type="expression" dxfId="169" priority="178">
      <formula>#REF! = 13500</formula>
    </cfRule>
    <cfRule type="expression" dxfId="168" priority="179">
      <formula>#REF! = 13499</formula>
    </cfRule>
    <cfRule type="expression" dxfId="167" priority="180">
      <formula>#REF! = 13302</formula>
    </cfRule>
    <cfRule type="expression" dxfId="166" priority="181">
      <formula>#REF! = "Other"</formula>
    </cfRule>
    <cfRule type="expression" dxfId="165" priority="182">
      <formula>#REF! = "Difference"</formula>
    </cfRule>
    <cfRule type="expression" dxfId="164" priority="183">
      <formula>#REF! = "Net Operating Losses"</formula>
    </cfRule>
    <cfRule type="expression" dxfId="163" priority="184">
      <formula>#REF! = "Temporary Items"</formula>
    </cfRule>
    <cfRule type="expression" dxfId="162" priority="185">
      <formula>#REF! = "Permanent Items"</formula>
    </cfRule>
    <cfRule type="expression" dxfId="161" priority="186">
      <formula>#REF! = 13300</formula>
    </cfRule>
    <cfRule type="expression" dxfId="160" priority="187">
      <formula>#REF! = 13299</formula>
    </cfRule>
    <cfRule type="expression" dxfId="159" priority="188">
      <formula>#REF! = 13103</formula>
    </cfRule>
    <cfRule type="expression" dxfId="158" priority="189">
      <formula>#REF! = 13101</formula>
    </cfRule>
    <cfRule type="expression" dxfId="157" priority="190">
      <formula>#REF! = 13100</formula>
    </cfRule>
    <cfRule type="expression" dxfId="156" priority="191">
      <formula>#REF! = 13010</formula>
    </cfRule>
    <cfRule type="expression" dxfId="155" priority="192">
      <formula>#REF! = 12999</formula>
    </cfRule>
    <cfRule type="expression" dxfId="154" priority="193">
      <formula>#REF! = 11999</formula>
    </cfRule>
    <cfRule type="expression" dxfId="153" priority="194">
      <formula>#REF! = 10999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050A-C9FC-4F00-87DA-AAF4D89D9BF4}">
  <sheetPr codeName="Sheet3"/>
  <dimension ref="A1:X49"/>
  <sheetViews>
    <sheetView zoomScale="76" zoomScaleNormal="80" workbookViewId="0">
      <selection activeCell="B1" sqref="B1"/>
    </sheetView>
  </sheetViews>
  <sheetFormatPr defaultRowHeight="14.4" x14ac:dyDescent="0.3"/>
  <cols>
    <col min="1" max="1" width="36.6640625" style="148" bestFit="1" customWidth="1"/>
    <col min="2" max="2" width="19.88671875" style="148" bestFit="1" customWidth="1"/>
    <col min="3" max="3" width="17.33203125" bestFit="1" customWidth="1"/>
    <col min="4" max="4" width="10" bestFit="1" customWidth="1"/>
    <col min="5" max="5" width="20.5546875" customWidth="1"/>
    <col min="7" max="8" width="23" customWidth="1"/>
    <col min="10" max="10" width="17.33203125" bestFit="1" customWidth="1"/>
    <col min="11" max="11" width="10" customWidth="1"/>
    <col min="12" max="12" width="21" customWidth="1"/>
    <col min="13" max="13" width="8.5546875" bestFit="1" customWidth="1"/>
    <col min="14" max="15" width="22.21875" customWidth="1"/>
    <col min="17" max="19" width="25" customWidth="1"/>
    <col min="21" max="21" width="12.44140625" bestFit="1" customWidth="1"/>
    <col min="22" max="22" width="8" bestFit="1" customWidth="1"/>
    <col min="23" max="23" width="5" bestFit="1" customWidth="1"/>
    <col min="24" max="24" width="75.88671875" customWidth="1"/>
  </cols>
  <sheetData>
    <row r="1" spans="1:24" x14ac:dyDescent="0.3">
      <c r="A1" t="s">
        <v>368</v>
      </c>
      <c r="B1"/>
    </row>
    <row r="2" spans="1:24" x14ac:dyDescent="0.3">
      <c r="A2"/>
      <c r="B2"/>
    </row>
    <row r="3" spans="1:24" x14ac:dyDescent="0.3">
      <c r="A3"/>
      <c r="B3"/>
    </row>
    <row r="4" spans="1:24" x14ac:dyDescent="0.3">
      <c r="A4"/>
      <c r="B4"/>
    </row>
    <row r="5" spans="1:24" x14ac:dyDescent="0.3">
      <c r="A5"/>
      <c r="B5"/>
    </row>
    <row r="6" spans="1:24" ht="14.4" customHeight="1" x14ac:dyDescent="0.3">
      <c r="A6" s="3"/>
      <c r="B6" s="3"/>
      <c r="C6" s="152" t="s">
        <v>359</v>
      </c>
      <c r="D6" s="152"/>
      <c r="E6" s="152"/>
      <c r="F6" s="152"/>
      <c r="G6" s="152"/>
      <c r="H6" s="152"/>
      <c r="I6" s="3"/>
      <c r="J6" s="158" t="s">
        <v>360</v>
      </c>
      <c r="K6" s="158"/>
      <c r="L6" s="158"/>
      <c r="M6" s="158"/>
      <c r="N6" s="158"/>
      <c r="O6" s="158"/>
    </row>
    <row r="7" spans="1:24" x14ac:dyDescent="0.3">
      <c r="A7" s="170"/>
      <c r="B7" s="170"/>
      <c r="C7" s="149"/>
      <c r="D7" s="149"/>
      <c r="E7" s="149"/>
      <c r="F7" s="149"/>
      <c r="G7" s="150" t="s">
        <v>358</v>
      </c>
      <c r="H7" s="150"/>
      <c r="I7" s="170"/>
      <c r="J7" s="154"/>
      <c r="K7" s="154"/>
      <c r="L7" s="154"/>
      <c r="M7" s="154"/>
      <c r="N7" s="155" t="s">
        <v>358</v>
      </c>
      <c r="O7" s="155"/>
      <c r="P7" s="44"/>
      <c r="Q7" s="44"/>
      <c r="R7" s="44"/>
      <c r="S7" s="44"/>
      <c r="T7" s="44"/>
      <c r="U7" s="35" t="s">
        <v>364</v>
      </c>
      <c r="V7" s="35" t="s">
        <v>365</v>
      </c>
      <c r="W7" s="43" t="s">
        <v>366</v>
      </c>
      <c r="X7" s="43" t="s">
        <v>367</v>
      </c>
    </row>
    <row r="8" spans="1:24" ht="58.2" customHeight="1" x14ac:dyDescent="0.3">
      <c r="A8" s="3" t="s">
        <v>351</v>
      </c>
      <c r="B8" s="3" t="s">
        <v>343</v>
      </c>
      <c r="C8" s="149" t="s">
        <v>352</v>
      </c>
      <c r="D8" s="149" t="s">
        <v>353</v>
      </c>
      <c r="E8" s="151" t="s">
        <v>354</v>
      </c>
      <c r="F8" s="149" t="s">
        <v>355</v>
      </c>
      <c r="G8" s="149" t="s">
        <v>356</v>
      </c>
      <c r="H8" s="149" t="s">
        <v>357</v>
      </c>
      <c r="I8" s="3"/>
      <c r="J8" s="154" t="s">
        <v>352</v>
      </c>
      <c r="K8" s="154" t="s">
        <v>353</v>
      </c>
      <c r="L8" s="156" t="s">
        <v>354</v>
      </c>
      <c r="M8" s="154" t="s">
        <v>355</v>
      </c>
      <c r="N8" s="154" t="s">
        <v>356</v>
      </c>
      <c r="O8" s="154" t="s">
        <v>357</v>
      </c>
      <c r="Q8" s="167" t="s">
        <v>361</v>
      </c>
      <c r="R8" s="167" t="s">
        <v>362</v>
      </c>
      <c r="S8" s="167" t="s">
        <v>363</v>
      </c>
      <c r="U8" s="168"/>
      <c r="V8" s="168"/>
      <c r="W8" s="168"/>
      <c r="X8" s="168"/>
    </row>
    <row r="9" spans="1:24" x14ac:dyDescent="0.3">
      <c r="A9" s="3" t="s">
        <v>77</v>
      </c>
      <c r="B9" s="3">
        <v>14001</v>
      </c>
      <c r="C9" s="171">
        <v>1000</v>
      </c>
      <c r="D9" s="171">
        <v>769.23076923076917</v>
      </c>
      <c r="E9" s="171">
        <v>-230.76923076923083</v>
      </c>
      <c r="F9" s="165">
        <v>0.26500000000000001</v>
      </c>
      <c r="G9" s="171">
        <v>-61.153846153846175</v>
      </c>
      <c r="H9" s="171">
        <v>0</v>
      </c>
      <c r="I9" s="3"/>
      <c r="J9" s="157">
        <v>221.32674897119338</v>
      </c>
      <c r="K9" s="157"/>
      <c r="L9" s="157">
        <f>K9-J9</f>
        <v>-221.32674897119338</v>
      </c>
      <c r="M9" s="166">
        <f>'Tax Rates'!$L$24</f>
        <v>0.26500000000000001</v>
      </c>
      <c r="N9" s="157">
        <f>IF(M9*L9&lt;0,M9*L9,0)</f>
        <v>-58.651588477366246</v>
      </c>
      <c r="O9" s="157">
        <f>IF(M9*L9&gt;0,M9*L9,0)</f>
        <v>0</v>
      </c>
      <c r="Q9">
        <f>L9-E9</f>
        <v>9.4424817980374485</v>
      </c>
      <c r="R9">
        <f>-(N9+O9-G9-H9)</f>
        <v>-2.5022576764799283</v>
      </c>
      <c r="S9">
        <f>(F9-M9)*E9</f>
        <v>0</v>
      </c>
      <c r="U9" s="168"/>
      <c r="V9" s="168"/>
      <c r="W9" s="168"/>
      <c r="X9" s="168"/>
    </row>
    <row r="10" spans="1:24" x14ac:dyDescent="0.3">
      <c r="A10" s="3" t="s">
        <v>24</v>
      </c>
      <c r="B10" s="3">
        <v>14002</v>
      </c>
      <c r="C10" s="171">
        <v>1340</v>
      </c>
      <c r="D10" s="171">
        <v>1030.7692307692307</v>
      </c>
      <c r="E10" s="171">
        <v>-309.23076923076928</v>
      </c>
      <c r="F10" s="165">
        <v>0.26500000000000001</v>
      </c>
      <c r="G10" s="171">
        <v>-81.946153846153862</v>
      </c>
      <c r="H10" s="171">
        <v>0</v>
      </c>
      <c r="I10" s="3"/>
      <c r="J10" s="157">
        <v>10000</v>
      </c>
      <c r="K10" s="157"/>
      <c r="L10" s="157">
        <f t="shared" ref="L10:L23" si="0">K10-J10</f>
        <v>-10000</v>
      </c>
      <c r="M10" s="166">
        <f>'Tax Rates'!$L$24</f>
        <v>0.26500000000000001</v>
      </c>
      <c r="N10" s="157">
        <f t="shared" ref="N10:N23" si="1">IF(M10*L10&lt;0,M10*L10,0)</f>
        <v>-2650</v>
      </c>
      <c r="O10" s="157">
        <f t="shared" ref="O10:O23" si="2">IF(M10*L10&gt;0,M10*L10,0)</f>
        <v>0</v>
      </c>
      <c r="Q10">
        <f>L10-E10</f>
        <v>-9690.7692307692305</v>
      </c>
      <c r="R10">
        <f t="shared" ref="R10:R23" si="3">-(N10+O10-G10-H10)</f>
        <v>2568.0538461538463</v>
      </c>
      <c r="S10">
        <f t="shared" ref="S10:S23" si="4">(F10-M10)*E10</f>
        <v>0</v>
      </c>
      <c r="U10" s="168"/>
      <c r="V10" s="168"/>
      <c r="W10" s="168"/>
      <c r="X10" s="168"/>
    </row>
    <row r="11" spans="1:24" x14ac:dyDescent="0.3">
      <c r="A11" s="3" t="s">
        <v>78</v>
      </c>
      <c r="B11" s="3">
        <v>14003</v>
      </c>
      <c r="C11" s="171">
        <v>1795.6000000000001</v>
      </c>
      <c r="D11" s="171">
        <v>1381.2307692307693</v>
      </c>
      <c r="E11" s="171">
        <v>-414.36923076923085</v>
      </c>
      <c r="F11" s="165">
        <v>0.26500000000000001</v>
      </c>
      <c r="G11" s="171">
        <v>-109.80784615384619</v>
      </c>
      <c r="H11" s="171">
        <v>0</v>
      </c>
      <c r="I11" s="3"/>
      <c r="J11" s="157">
        <v>4666.666666666667</v>
      </c>
      <c r="K11" s="157"/>
      <c r="L11" s="157">
        <f t="shared" si="0"/>
        <v>-4666.666666666667</v>
      </c>
      <c r="M11" s="166">
        <f>'Tax Rates'!$L$24</f>
        <v>0.26500000000000001</v>
      </c>
      <c r="N11" s="157">
        <f t="shared" si="1"/>
        <v>-1236.6666666666667</v>
      </c>
      <c r="O11" s="157">
        <f t="shared" si="2"/>
        <v>0</v>
      </c>
      <c r="Q11">
        <f>L11-E11</f>
        <v>-4252.2974358974361</v>
      </c>
      <c r="R11">
        <f t="shared" si="3"/>
        <v>1126.8588205128206</v>
      </c>
      <c r="S11">
        <f t="shared" si="4"/>
        <v>0</v>
      </c>
      <c r="U11" s="168"/>
      <c r="V11" s="168"/>
      <c r="W11" s="168"/>
      <c r="X11" s="168"/>
    </row>
    <row r="12" spans="1:24" x14ac:dyDescent="0.3">
      <c r="A12" s="3" t="s">
        <v>22</v>
      </c>
      <c r="B12" s="3">
        <v>14004</v>
      </c>
      <c r="C12" s="171">
        <v>2406.1040000000003</v>
      </c>
      <c r="D12" s="171">
        <v>1850.8492307692309</v>
      </c>
      <c r="E12" s="171">
        <v>-555.2547692307694</v>
      </c>
      <c r="F12" s="165">
        <v>0.26500000000000001</v>
      </c>
      <c r="G12" s="171">
        <v>-147.14251384615389</v>
      </c>
      <c r="H12" s="171">
        <v>0</v>
      </c>
      <c r="I12" s="3"/>
      <c r="J12" s="157">
        <v>2177.7777777777778</v>
      </c>
      <c r="K12" s="157"/>
      <c r="L12" s="157">
        <f t="shared" si="0"/>
        <v>-2177.7777777777778</v>
      </c>
      <c r="M12" s="166">
        <f>'Tax Rates'!$L$24</f>
        <v>0.26500000000000001</v>
      </c>
      <c r="N12" s="157">
        <f t="shared" si="1"/>
        <v>-577.1111111111112</v>
      </c>
      <c r="O12" s="157">
        <f t="shared" si="2"/>
        <v>0</v>
      </c>
      <c r="Q12">
        <f>L12-E12</f>
        <v>-1622.5230085470084</v>
      </c>
      <c r="R12">
        <f t="shared" si="3"/>
        <v>429.96859726495734</v>
      </c>
      <c r="S12">
        <f t="shared" si="4"/>
        <v>0</v>
      </c>
      <c r="U12" s="168"/>
      <c r="V12" s="168"/>
      <c r="W12" s="168"/>
      <c r="X12" s="168"/>
    </row>
    <row r="13" spans="1:24" x14ac:dyDescent="0.3">
      <c r="A13" s="3" t="s">
        <v>35</v>
      </c>
      <c r="B13" s="3">
        <v>14005</v>
      </c>
      <c r="C13" s="171">
        <v>3224.1793600000005</v>
      </c>
      <c r="D13" s="171">
        <v>2480.1379692307696</v>
      </c>
      <c r="E13" s="171">
        <v>-744.04139076923093</v>
      </c>
      <c r="F13" s="165">
        <v>0.26500000000000001</v>
      </c>
      <c r="G13" s="171">
        <v>-197.17096855384619</v>
      </c>
      <c r="H13" s="171">
        <v>0</v>
      </c>
      <c r="I13" s="3"/>
      <c r="J13" s="157">
        <v>1016.2962962962962</v>
      </c>
      <c r="K13" s="157"/>
      <c r="L13" s="157">
        <f t="shared" si="0"/>
        <v>-1016.2962962962962</v>
      </c>
      <c r="M13" s="166">
        <f>'Tax Rates'!$L$24</f>
        <v>0.26500000000000001</v>
      </c>
      <c r="N13" s="157">
        <f t="shared" si="1"/>
        <v>-269.31851851851849</v>
      </c>
      <c r="O13" s="157">
        <f t="shared" si="2"/>
        <v>0</v>
      </c>
      <c r="Q13">
        <f>L13-E13</f>
        <v>-272.25490552706526</v>
      </c>
      <c r="R13">
        <f t="shared" si="3"/>
        <v>72.147549964672294</v>
      </c>
      <c r="S13">
        <f t="shared" si="4"/>
        <v>0</v>
      </c>
      <c r="U13" s="168"/>
      <c r="V13" s="168"/>
      <c r="W13" s="168"/>
      <c r="X13" s="168"/>
    </row>
    <row r="14" spans="1:24" x14ac:dyDescent="0.3">
      <c r="A14" s="3" t="s">
        <v>36</v>
      </c>
      <c r="B14" s="3">
        <v>14006</v>
      </c>
      <c r="C14" s="171">
        <v>4320.4003424000011</v>
      </c>
      <c r="D14" s="171">
        <v>3323.3848787692314</v>
      </c>
      <c r="E14" s="171">
        <v>-997.01546363076977</v>
      </c>
      <c r="F14" s="165">
        <v>0.26500000000000001</v>
      </c>
      <c r="G14" s="171">
        <v>-264.20909786215401</v>
      </c>
      <c r="H14" s="171">
        <v>0</v>
      </c>
      <c r="I14" s="3"/>
      <c r="J14" s="157">
        <v>474.27160493827154</v>
      </c>
      <c r="K14" s="157"/>
      <c r="L14" s="157">
        <f t="shared" si="0"/>
        <v>-474.27160493827154</v>
      </c>
      <c r="M14" s="166">
        <f>'Tax Rates'!$L$24</f>
        <v>0.26500000000000001</v>
      </c>
      <c r="N14" s="157">
        <f t="shared" si="1"/>
        <v>-125.68197530864197</v>
      </c>
      <c r="O14" s="157">
        <f t="shared" si="2"/>
        <v>0</v>
      </c>
      <c r="Q14">
        <f>L14-E14</f>
        <v>522.74385869249818</v>
      </c>
      <c r="R14">
        <f t="shared" si="3"/>
        <v>-138.52712255351204</v>
      </c>
      <c r="S14">
        <f t="shared" si="4"/>
        <v>0</v>
      </c>
      <c r="U14" s="168"/>
      <c r="V14" s="168"/>
      <c r="W14" s="168"/>
      <c r="X14" s="168"/>
    </row>
    <row r="15" spans="1:24" x14ac:dyDescent="0.3">
      <c r="A15" s="3" t="s">
        <v>37</v>
      </c>
      <c r="B15" s="3">
        <v>14007</v>
      </c>
      <c r="C15" s="171">
        <v>5789.3364588160021</v>
      </c>
      <c r="D15" s="171">
        <v>4453.3357375507703</v>
      </c>
      <c r="E15" s="171">
        <v>-1336.0007212652317</v>
      </c>
      <c r="F15" s="165">
        <v>0.26500000000000001</v>
      </c>
      <c r="G15" s="171">
        <v>-354.04019113528642</v>
      </c>
      <c r="H15" s="171">
        <v>0</v>
      </c>
      <c r="I15" s="3"/>
      <c r="J15" s="157">
        <v>221.32674897119338</v>
      </c>
      <c r="K15" s="157"/>
      <c r="L15" s="157">
        <f t="shared" si="0"/>
        <v>-221.32674897119338</v>
      </c>
      <c r="M15" s="166">
        <f>'Tax Rates'!$L$24</f>
        <v>0.26500000000000001</v>
      </c>
      <c r="N15" s="157">
        <f t="shared" si="1"/>
        <v>-58.651588477366246</v>
      </c>
      <c r="O15" s="157">
        <f t="shared" si="2"/>
        <v>0</v>
      </c>
      <c r="Q15">
        <f>L15-E15</f>
        <v>1114.6739722940383</v>
      </c>
      <c r="R15">
        <f t="shared" si="3"/>
        <v>-295.38860265792016</v>
      </c>
      <c r="S15">
        <f t="shared" si="4"/>
        <v>0</v>
      </c>
      <c r="U15" s="168"/>
      <c r="V15" s="168"/>
      <c r="W15" s="168"/>
      <c r="X15" s="168"/>
    </row>
    <row r="16" spans="1:24" x14ac:dyDescent="0.3">
      <c r="A16" s="3" t="s">
        <v>79</v>
      </c>
      <c r="B16" s="3">
        <v>14008</v>
      </c>
      <c r="C16" s="171">
        <v>7757.7108548134429</v>
      </c>
      <c r="D16" s="171">
        <v>5967.4698883180326</v>
      </c>
      <c r="E16" s="171">
        <v>-1790.2409664954102</v>
      </c>
      <c r="F16" s="165">
        <v>0.26500000000000001</v>
      </c>
      <c r="G16" s="171">
        <v>-474.41385612128374</v>
      </c>
      <c r="H16" s="171">
        <v>0</v>
      </c>
      <c r="I16" s="3"/>
      <c r="J16" s="157">
        <v>10000</v>
      </c>
      <c r="K16" s="157"/>
      <c r="L16" s="157">
        <f t="shared" si="0"/>
        <v>-10000</v>
      </c>
      <c r="M16" s="166">
        <f>'Tax Rates'!$L$24</f>
        <v>0.26500000000000001</v>
      </c>
      <c r="N16" s="157">
        <f t="shared" si="1"/>
        <v>-2650</v>
      </c>
      <c r="O16" s="157">
        <f t="shared" si="2"/>
        <v>0</v>
      </c>
      <c r="Q16">
        <f>L16-E16</f>
        <v>-8209.7590335045898</v>
      </c>
      <c r="R16">
        <f t="shared" si="3"/>
        <v>2175.586143878716</v>
      </c>
      <c r="S16">
        <f t="shared" si="4"/>
        <v>0</v>
      </c>
      <c r="U16" s="168"/>
      <c r="V16" s="168"/>
      <c r="W16" s="168"/>
      <c r="X16" s="168"/>
    </row>
    <row r="17" spans="1:24" x14ac:dyDescent="0.3">
      <c r="A17" s="3" t="s">
        <v>80</v>
      </c>
      <c r="B17" s="3">
        <v>14009</v>
      </c>
      <c r="C17" s="171">
        <v>10395.332545450014</v>
      </c>
      <c r="D17" s="171">
        <v>7996.4096503461642</v>
      </c>
      <c r="E17" s="171">
        <v>-2398.9228951038494</v>
      </c>
      <c r="F17" s="165">
        <v>0.26500000000000001</v>
      </c>
      <c r="G17" s="171">
        <v>-635.71456720252013</v>
      </c>
      <c r="H17" s="171">
        <v>0</v>
      </c>
      <c r="I17" s="3"/>
      <c r="J17" s="157">
        <v>4666.666666666667</v>
      </c>
      <c r="K17" s="157"/>
      <c r="L17" s="157">
        <f t="shared" si="0"/>
        <v>-4666.666666666667</v>
      </c>
      <c r="M17" s="166">
        <f>'Tax Rates'!$L$24</f>
        <v>0.26500000000000001</v>
      </c>
      <c r="N17" s="157">
        <f t="shared" si="1"/>
        <v>-1236.6666666666667</v>
      </c>
      <c r="O17" s="157">
        <f t="shared" si="2"/>
        <v>0</v>
      </c>
      <c r="Q17">
        <f>L17-E17</f>
        <v>-2267.7437715628175</v>
      </c>
      <c r="R17">
        <f t="shared" si="3"/>
        <v>600.95209946414661</v>
      </c>
      <c r="S17">
        <f t="shared" si="4"/>
        <v>0</v>
      </c>
      <c r="U17" s="168"/>
      <c r="V17" s="168"/>
      <c r="W17" s="168"/>
      <c r="X17" s="168"/>
    </row>
    <row r="18" spans="1:24" x14ac:dyDescent="0.3">
      <c r="A18" s="3" t="s">
        <v>81</v>
      </c>
      <c r="B18" s="3">
        <v>14010</v>
      </c>
      <c r="C18" s="171">
        <v>13929.745610903019</v>
      </c>
      <c r="D18" s="171">
        <v>10715.188931463861</v>
      </c>
      <c r="E18" s="171">
        <v>-3214.556679439158</v>
      </c>
      <c r="F18" s="165">
        <v>0.26500000000000001</v>
      </c>
      <c r="G18" s="171">
        <v>-851.85752005137692</v>
      </c>
      <c r="H18" s="171">
        <v>0</v>
      </c>
      <c r="I18" s="3"/>
      <c r="J18" s="157">
        <v>2177.7777777777778</v>
      </c>
      <c r="K18" s="157"/>
      <c r="L18" s="157">
        <f t="shared" si="0"/>
        <v>-2177.7777777777778</v>
      </c>
      <c r="M18" s="166">
        <f>'Tax Rates'!$L$24</f>
        <v>0.26500000000000001</v>
      </c>
      <c r="N18" s="157">
        <f t="shared" si="1"/>
        <v>-577.1111111111112</v>
      </c>
      <c r="O18" s="157">
        <f t="shared" si="2"/>
        <v>0</v>
      </c>
      <c r="Q18">
        <f>L18-E18</f>
        <v>1036.7789016613801</v>
      </c>
      <c r="R18">
        <f t="shared" si="3"/>
        <v>-274.74640894026572</v>
      </c>
      <c r="S18">
        <f t="shared" si="4"/>
        <v>0</v>
      </c>
      <c r="U18" s="168"/>
      <c r="V18" s="168"/>
      <c r="W18" s="168"/>
      <c r="X18" s="168"/>
    </row>
    <row r="19" spans="1:24" x14ac:dyDescent="0.3">
      <c r="A19" s="3" t="s">
        <v>82</v>
      </c>
      <c r="B19" s="3">
        <v>14011</v>
      </c>
      <c r="C19" s="171">
        <v>18665.859118610046</v>
      </c>
      <c r="D19" s="171">
        <v>14358.353168161573</v>
      </c>
      <c r="E19" s="171">
        <v>-4307.5059504484725</v>
      </c>
      <c r="F19" s="165">
        <v>0.26500000000000001</v>
      </c>
      <c r="G19" s="171">
        <v>-1141.4890768688454</v>
      </c>
      <c r="H19" s="171">
        <v>0</v>
      </c>
      <c r="I19" s="3"/>
      <c r="J19" s="157">
        <v>1016.2962962962962</v>
      </c>
      <c r="K19" s="157"/>
      <c r="L19" s="157">
        <f t="shared" si="0"/>
        <v>-1016.2962962962962</v>
      </c>
      <c r="M19" s="166">
        <f>'Tax Rates'!$L$24</f>
        <v>0.26500000000000001</v>
      </c>
      <c r="N19" s="157">
        <f t="shared" si="1"/>
        <v>-269.31851851851849</v>
      </c>
      <c r="O19" s="157">
        <f t="shared" si="2"/>
        <v>0</v>
      </c>
      <c r="Q19">
        <f>L19-E19</f>
        <v>3291.2096541521764</v>
      </c>
      <c r="R19">
        <f t="shared" si="3"/>
        <v>-872.17055835032693</v>
      </c>
      <c r="S19">
        <f t="shared" si="4"/>
        <v>0</v>
      </c>
      <c r="U19" s="168"/>
      <c r="V19" s="168"/>
      <c r="W19" s="168"/>
      <c r="X19" s="168"/>
    </row>
    <row r="20" spans="1:24" x14ac:dyDescent="0.3">
      <c r="A20" s="3" t="s">
        <v>83</v>
      </c>
      <c r="B20" s="3">
        <v>14012</v>
      </c>
      <c r="C20" s="171">
        <v>25012.251218937461</v>
      </c>
      <c r="D20" s="171">
        <v>19240.193245336508</v>
      </c>
      <c r="E20" s="171">
        <v>-5772.0579736009531</v>
      </c>
      <c r="F20" s="165">
        <v>0.26500000000000001</v>
      </c>
      <c r="G20" s="171">
        <v>-1529.5953630042527</v>
      </c>
      <c r="H20" s="171">
        <v>0</v>
      </c>
      <c r="I20" s="3"/>
      <c r="J20" s="157">
        <v>474.27160493827154</v>
      </c>
      <c r="K20" s="157"/>
      <c r="L20" s="157">
        <f t="shared" si="0"/>
        <v>-474.27160493827154</v>
      </c>
      <c r="M20" s="166">
        <f>'Tax Rates'!$L$24</f>
        <v>0.26500000000000001</v>
      </c>
      <c r="N20" s="157">
        <f t="shared" si="1"/>
        <v>-125.68197530864197</v>
      </c>
      <c r="O20" s="157">
        <f t="shared" si="2"/>
        <v>0</v>
      </c>
      <c r="Q20">
        <f>L20-E20</f>
        <v>5297.7863686626815</v>
      </c>
      <c r="R20">
        <f t="shared" si="3"/>
        <v>-1403.9133876956107</v>
      </c>
      <c r="S20">
        <f t="shared" si="4"/>
        <v>0</v>
      </c>
      <c r="U20" s="168"/>
      <c r="V20" s="168"/>
      <c r="W20" s="168"/>
      <c r="X20" s="168"/>
    </row>
    <row r="21" spans="1:24" x14ac:dyDescent="0.3">
      <c r="A21" s="3" t="s">
        <v>84</v>
      </c>
      <c r="B21" s="3">
        <v>14013</v>
      </c>
      <c r="C21" s="171">
        <v>33516.416633376197</v>
      </c>
      <c r="D21" s="171">
        <v>25781.85894875092</v>
      </c>
      <c r="E21" s="171">
        <v>-7734.557684625277</v>
      </c>
      <c r="F21" s="165">
        <v>0.26500000000000001</v>
      </c>
      <c r="G21" s="171">
        <v>-2049.6577864256983</v>
      </c>
      <c r="H21" s="171">
        <v>0</v>
      </c>
      <c r="I21" s="3"/>
      <c r="J21" s="157">
        <v>221.32674897119338</v>
      </c>
      <c r="K21" s="157"/>
      <c r="L21" s="157">
        <f t="shared" si="0"/>
        <v>-221.32674897119338</v>
      </c>
      <c r="M21" s="166">
        <f>'Tax Rates'!$L$24</f>
        <v>0.26500000000000001</v>
      </c>
      <c r="N21" s="157">
        <f t="shared" si="1"/>
        <v>-58.651588477366246</v>
      </c>
      <c r="O21" s="157">
        <f t="shared" si="2"/>
        <v>0</v>
      </c>
      <c r="Q21">
        <f>L21-E21</f>
        <v>7513.2309356540836</v>
      </c>
      <c r="R21">
        <f t="shared" si="3"/>
        <v>-1991.0061979483321</v>
      </c>
      <c r="S21">
        <f t="shared" si="4"/>
        <v>0</v>
      </c>
      <c r="U21" s="169"/>
      <c r="V21" s="168"/>
      <c r="W21" s="168"/>
      <c r="X21" s="168"/>
    </row>
    <row r="22" spans="1:24" x14ac:dyDescent="0.3">
      <c r="A22" s="3" t="s">
        <v>85</v>
      </c>
      <c r="B22" s="3">
        <v>14014</v>
      </c>
      <c r="C22" s="171">
        <v>44911.998288724106</v>
      </c>
      <c r="D22" s="171">
        <v>34547.690991326235</v>
      </c>
      <c r="E22" s="171">
        <v>-10364.307297397871</v>
      </c>
      <c r="F22" s="165">
        <v>0.26500000000000001</v>
      </c>
      <c r="G22" s="171">
        <v>-2746.541433810436</v>
      </c>
      <c r="H22" s="171">
        <v>0</v>
      </c>
      <c r="I22" s="3"/>
      <c r="J22" s="157">
        <v>10000</v>
      </c>
      <c r="K22" s="157"/>
      <c r="L22" s="157">
        <f t="shared" si="0"/>
        <v>-10000</v>
      </c>
      <c r="M22" s="166">
        <f>'Tax Rates'!$L$24</f>
        <v>0.26500000000000001</v>
      </c>
      <c r="N22" s="157">
        <f t="shared" si="1"/>
        <v>-2650</v>
      </c>
      <c r="O22" s="157">
        <f t="shared" si="2"/>
        <v>0</v>
      </c>
      <c r="Q22">
        <f>L22-E22</f>
        <v>364.30729739787057</v>
      </c>
      <c r="R22">
        <f t="shared" si="3"/>
        <v>-96.541433810436047</v>
      </c>
      <c r="S22">
        <f t="shared" si="4"/>
        <v>0</v>
      </c>
      <c r="U22" s="168"/>
      <c r="V22" s="168"/>
      <c r="W22" s="168"/>
      <c r="X22" s="168"/>
    </row>
    <row r="23" spans="1:24" x14ac:dyDescent="0.3">
      <c r="A23" s="3" t="s">
        <v>86</v>
      </c>
      <c r="B23" s="3">
        <v>14015</v>
      </c>
      <c r="C23" s="171">
        <v>60182.077706890304</v>
      </c>
      <c r="D23" s="171">
        <v>46293.905928377157</v>
      </c>
      <c r="E23" s="171">
        <v>-13888.171778513148</v>
      </c>
      <c r="F23" s="165">
        <v>0.26500000000000001</v>
      </c>
      <c r="G23" s="171">
        <v>-3680.3655213059842</v>
      </c>
      <c r="H23" s="171">
        <v>0</v>
      </c>
      <c r="I23" s="3"/>
      <c r="J23" s="157">
        <v>4666.666666666667</v>
      </c>
      <c r="K23" s="157"/>
      <c r="L23" s="157">
        <f t="shared" si="0"/>
        <v>-4666.666666666667</v>
      </c>
      <c r="M23" s="166">
        <f>'Tax Rates'!$L$24</f>
        <v>0.26500000000000001</v>
      </c>
      <c r="N23" s="157">
        <f t="shared" si="1"/>
        <v>-1236.6666666666667</v>
      </c>
      <c r="O23" s="157">
        <f t="shared" si="2"/>
        <v>0</v>
      </c>
      <c r="Q23">
        <f>L23-E23</f>
        <v>9221.5051118464798</v>
      </c>
      <c r="R23">
        <f t="shared" si="3"/>
        <v>-2443.6988546393177</v>
      </c>
      <c r="S23">
        <f t="shared" si="4"/>
        <v>0</v>
      </c>
      <c r="U23" s="168"/>
      <c r="V23" s="168"/>
      <c r="W23" s="168"/>
      <c r="X23" s="168"/>
    </row>
    <row r="24" spans="1:24" ht="15" thickBot="1" x14ac:dyDescent="0.35">
      <c r="A24" s="161" t="s">
        <v>87</v>
      </c>
      <c r="B24" s="161"/>
      <c r="C24" s="172">
        <v>234247.0121389206</v>
      </c>
      <c r="D24" s="172">
        <v>180190.0093376312</v>
      </c>
      <c r="E24" s="172">
        <v>-54057.002801289374</v>
      </c>
      <c r="F24" s="162"/>
      <c r="G24" s="172">
        <v>-14325.105742341684</v>
      </c>
      <c r="H24" s="172">
        <v>0</v>
      </c>
      <c r="I24" s="161"/>
      <c r="J24" s="163">
        <f>SUM(J9:J23)</f>
        <v>52000.671604938274</v>
      </c>
      <c r="K24" s="163">
        <f>SUM(K9:K23)</f>
        <v>0</v>
      </c>
      <c r="L24" s="163">
        <f>SUM(L9:L23)</f>
        <v>-52000.671604938274</v>
      </c>
      <c r="M24" s="163"/>
      <c r="N24" s="163">
        <f>SUM(N9:N23)</f>
        <v>-13780.177975308643</v>
      </c>
      <c r="O24" s="163">
        <f>SUM(O9:O23)</f>
        <v>0</v>
      </c>
      <c r="Q24" s="163">
        <f>SUM(Q9:Q23)</f>
        <v>2056.3311963510941</v>
      </c>
      <c r="R24" s="163">
        <f>SUM(R9:R23)</f>
        <v>-544.92776703304344</v>
      </c>
      <c r="S24" s="163">
        <f>SUM(S9:S23)</f>
        <v>0</v>
      </c>
      <c r="U24" s="168"/>
      <c r="V24" s="168"/>
      <c r="W24" s="168"/>
      <c r="X24" s="168"/>
    </row>
    <row r="25" spans="1:24" ht="15" thickTop="1" x14ac:dyDescent="0.3">
      <c r="A25" s="8"/>
      <c r="B25" s="8"/>
      <c r="C25" s="173"/>
      <c r="D25" s="173"/>
      <c r="E25" s="173"/>
      <c r="F25" s="159"/>
      <c r="G25" s="173"/>
      <c r="H25" s="173"/>
      <c r="I25" s="8"/>
      <c r="J25" s="160"/>
      <c r="K25" s="160"/>
      <c r="L25" s="160"/>
      <c r="M25" s="160"/>
      <c r="N25" s="160"/>
      <c r="O25" s="160"/>
      <c r="U25" s="168"/>
      <c r="V25" s="168"/>
      <c r="W25" s="168"/>
      <c r="X25" s="168"/>
    </row>
    <row r="26" spans="1:24" x14ac:dyDescent="0.3">
      <c r="A26" s="164" t="s">
        <v>88</v>
      </c>
      <c r="B26" s="3"/>
      <c r="C26" s="171"/>
      <c r="D26" s="171"/>
      <c r="E26" s="171"/>
      <c r="F26" s="153"/>
      <c r="G26" s="171"/>
      <c r="H26" s="171"/>
      <c r="I26" s="3"/>
      <c r="J26" s="157"/>
      <c r="K26" s="157"/>
      <c r="L26" s="157"/>
      <c r="M26" s="157"/>
      <c r="N26" s="157"/>
      <c r="O26" s="157"/>
      <c r="U26" s="168"/>
      <c r="V26" s="168"/>
      <c r="W26" s="168"/>
      <c r="X26" s="168"/>
    </row>
    <row r="27" spans="1:24" x14ac:dyDescent="0.3">
      <c r="A27" s="3" t="s">
        <v>89</v>
      </c>
      <c r="B27" s="3">
        <v>14101</v>
      </c>
      <c r="C27" s="171">
        <v>1000</v>
      </c>
      <c r="D27" s="171">
        <v>769.23076923076917</v>
      </c>
      <c r="E27" s="171">
        <v>-230.76923076923083</v>
      </c>
      <c r="F27" s="165">
        <v>0.26500000000000001</v>
      </c>
      <c r="G27" s="171">
        <v>-61.153846153846175</v>
      </c>
      <c r="H27" s="171">
        <v>0</v>
      </c>
      <c r="I27" s="3"/>
      <c r="J27" s="157">
        <v>1016.2962962962962</v>
      </c>
      <c r="K27" s="157"/>
      <c r="L27" s="157">
        <f>K27-J27</f>
        <v>-1016.2962962962962</v>
      </c>
      <c r="M27" s="166">
        <f>'Tax Rates'!$L$24</f>
        <v>0.26500000000000001</v>
      </c>
      <c r="N27" s="157">
        <f>IF(M27*L27&lt;0,M27*L27,0)</f>
        <v>-269.31851851851849</v>
      </c>
      <c r="O27" s="157">
        <f>IF(M27*L27&gt;0,M27*L27,0)</f>
        <v>0</v>
      </c>
      <c r="Q27">
        <f>L27-E27</f>
        <v>-785.52706552706536</v>
      </c>
      <c r="R27">
        <f t="shared" ref="R27:R33" si="5">-(N27+O27-G27-H27)</f>
        <v>208.1646723646723</v>
      </c>
      <c r="S27">
        <f t="shared" ref="S27:S33" si="6">(F27-M27)*E27</f>
        <v>0</v>
      </c>
      <c r="U27" s="168"/>
      <c r="V27" s="168"/>
      <c r="W27" s="168"/>
      <c r="X27" s="168"/>
    </row>
    <row r="28" spans="1:24" x14ac:dyDescent="0.3">
      <c r="A28" s="3" t="s">
        <v>90</v>
      </c>
      <c r="B28" s="3">
        <v>14102</v>
      </c>
      <c r="C28" s="171">
        <v>1340</v>
      </c>
      <c r="D28" s="171">
        <v>1030.7692307692307</v>
      </c>
      <c r="E28" s="171">
        <v>-309.23076923076928</v>
      </c>
      <c r="F28" s="165">
        <v>0.26500000000000001</v>
      </c>
      <c r="G28" s="171">
        <v>-81.946153846153862</v>
      </c>
      <c r="H28" s="171">
        <v>0</v>
      </c>
      <c r="I28" s="3"/>
      <c r="J28" s="157">
        <v>474.27160493827154</v>
      </c>
      <c r="K28" s="157"/>
      <c r="L28" s="157">
        <f t="shared" ref="L28:L33" si="7">K28-J28</f>
        <v>-474.27160493827154</v>
      </c>
      <c r="M28" s="166">
        <f>'Tax Rates'!$L$24</f>
        <v>0.26500000000000001</v>
      </c>
      <c r="N28" s="157">
        <f t="shared" ref="N28:N33" si="8">IF(M28*L28&lt;0,M28*L28,0)</f>
        <v>-125.68197530864197</v>
      </c>
      <c r="O28" s="157">
        <f t="shared" ref="O28:O33" si="9">IF(M28*L28&gt;0,M28*L28,0)</f>
        <v>0</v>
      </c>
      <c r="Q28">
        <f>L28-E28</f>
        <v>-165.04083570750225</v>
      </c>
      <c r="R28">
        <f t="shared" si="5"/>
        <v>43.735821462488104</v>
      </c>
      <c r="S28">
        <f t="shared" si="6"/>
        <v>0</v>
      </c>
      <c r="U28" s="168"/>
      <c r="V28" s="168"/>
      <c r="W28" s="168"/>
      <c r="X28" s="168"/>
    </row>
    <row r="29" spans="1:24" x14ac:dyDescent="0.3">
      <c r="A29" s="3" t="s">
        <v>91</v>
      </c>
      <c r="B29" s="3">
        <v>14103</v>
      </c>
      <c r="C29" s="171">
        <v>1795.6000000000001</v>
      </c>
      <c r="D29" s="171">
        <v>1381.2307692307693</v>
      </c>
      <c r="E29" s="171">
        <v>-414.36923076923085</v>
      </c>
      <c r="F29" s="165">
        <v>0.26500000000000001</v>
      </c>
      <c r="G29" s="171">
        <v>-109.80784615384619</v>
      </c>
      <c r="H29" s="171">
        <v>0</v>
      </c>
      <c r="I29" s="3"/>
      <c r="J29" s="157">
        <v>221.32674897119338</v>
      </c>
      <c r="K29" s="157"/>
      <c r="L29" s="157">
        <f t="shared" si="7"/>
        <v>-221.32674897119338</v>
      </c>
      <c r="M29" s="166">
        <f>'Tax Rates'!$L$24</f>
        <v>0.26500000000000001</v>
      </c>
      <c r="N29" s="157">
        <f t="shared" si="8"/>
        <v>-58.651588477366246</v>
      </c>
      <c r="O29" s="157">
        <f t="shared" si="9"/>
        <v>0</v>
      </c>
      <c r="Q29">
        <f>L29-E29</f>
        <v>193.04248179803747</v>
      </c>
      <c r="R29">
        <f t="shared" si="5"/>
        <v>-51.156257676479939</v>
      </c>
      <c r="S29">
        <f t="shared" si="6"/>
        <v>0</v>
      </c>
      <c r="U29" s="168"/>
      <c r="V29" s="168"/>
      <c r="W29" s="168"/>
      <c r="X29" s="168"/>
    </row>
    <row r="30" spans="1:24" x14ac:dyDescent="0.3">
      <c r="A30" s="3" t="s">
        <v>92</v>
      </c>
      <c r="B30" s="3">
        <v>14104</v>
      </c>
      <c r="C30" s="171">
        <v>2406.1040000000003</v>
      </c>
      <c r="D30" s="171">
        <v>1850.8492307692309</v>
      </c>
      <c r="E30" s="171">
        <v>-555.2547692307694</v>
      </c>
      <c r="F30" s="165">
        <v>0.26500000000000001</v>
      </c>
      <c r="G30" s="171">
        <v>-147.14251384615389</v>
      </c>
      <c r="H30" s="171">
        <v>0</v>
      </c>
      <c r="I30" s="3"/>
      <c r="J30" s="157">
        <v>10000</v>
      </c>
      <c r="K30" s="157"/>
      <c r="L30" s="157">
        <f t="shared" si="7"/>
        <v>-10000</v>
      </c>
      <c r="M30" s="166">
        <f>'Tax Rates'!$L$24</f>
        <v>0.26500000000000001</v>
      </c>
      <c r="N30" s="157">
        <f t="shared" si="8"/>
        <v>-2650</v>
      </c>
      <c r="O30" s="157">
        <f t="shared" si="9"/>
        <v>0</v>
      </c>
      <c r="Q30">
        <f>L30-E30</f>
        <v>-9444.7452307692311</v>
      </c>
      <c r="R30">
        <f t="shared" si="5"/>
        <v>2502.8574861538459</v>
      </c>
      <c r="S30">
        <f t="shared" si="6"/>
        <v>0</v>
      </c>
      <c r="U30" s="168"/>
      <c r="V30" s="168"/>
      <c r="W30" s="168"/>
      <c r="X30" s="168"/>
    </row>
    <row r="31" spans="1:24" x14ac:dyDescent="0.3">
      <c r="A31" s="3" t="s">
        <v>93</v>
      </c>
      <c r="B31" s="3">
        <v>14105</v>
      </c>
      <c r="C31" s="171">
        <v>3224.1793600000005</v>
      </c>
      <c r="D31" s="171">
        <v>2480.1379692307696</v>
      </c>
      <c r="E31" s="171">
        <v>-744.04139076923093</v>
      </c>
      <c r="F31" s="165">
        <v>0.26500000000000001</v>
      </c>
      <c r="G31" s="171">
        <v>-197.17096855384619</v>
      </c>
      <c r="H31" s="171">
        <v>0</v>
      </c>
      <c r="I31" s="3"/>
      <c r="J31" s="157">
        <v>4666.666666666667</v>
      </c>
      <c r="K31" s="157"/>
      <c r="L31" s="157">
        <f t="shared" si="7"/>
        <v>-4666.666666666667</v>
      </c>
      <c r="M31" s="166">
        <f>'Tax Rates'!$L$24</f>
        <v>0.26500000000000001</v>
      </c>
      <c r="N31" s="157">
        <f t="shared" si="8"/>
        <v>-1236.6666666666667</v>
      </c>
      <c r="O31" s="157">
        <f t="shared" si="9"/>
        <v>0</v>
      </c>
      <c r="Q31">
        <f>L31-E31</f>
        <v>-3922.625275897436</v>
      </c>
      <c r="R31">
        <f t="shared" si="5"/>
        <v>1039.4956981128205</v>
      </c>
      <c r="S31">
        <f t="shared" si="6"/>
        <v>0</v>
      </c>
      <c r="U31" s="168"/>
      <c r="V31" s="168"/>
      <c r="W31" s="168"/>
      <c r="X31" s="168"/>
    </row>
    <row r="32" spans="1:24" x14ac:dyDescent="0.3">
      <c r="A32" s="3" t="s">
        <v>94</v>
      </c>
      <c r="B32" s="3">
        <v>14106</v>
      </c>
      <c r="C32" s="171">
        <v>4320.4003424000011</v>
      </c>
      <c r="D32" s="171">
        <v>3323.3848787692314</v>
      </c>
      <c r="E32" s="171">
        <v>-997.01546363076977</v>
      </c>
      <c r="F32" s="165">
        <v>0.26500000000000001</v>
      </c>
      <c r="G32" s="171">
        <v>-264.20909786215401</v>
      </c>
      <c r="H32" s="171">
        <v>0</v>
      </c>
      <c r="I32" s="3"/>
      <c r="J32" s="157">
        <v>2177.7777777777778</v>
      </c>
      <c r="K32" s="157"/>
      <c r="L32" s="157">
        <f t="shared" si="7"/>
        <v>-2177.7777777777778</v>
      </c>
      <c r="M32" s="166">
        <f>'Tax Rates'!$L$24</f>
        <v>0.26500000000000001</v>
      </c>
      <c r="N32" s="157">
        <f t="shared" si="8"/>
        <v>-577.1111111111112</v>
      </c>
      <c r="O32" s="157">
        <f t="shared" si="9"/>
        <v>0</v>
      </c>
      <c r="Q32">
        <f>L32-E32</f>
        <v>-1180.7623141470081</v>
      </c>
      <c r="R32">
        <f t="shared" si="5"/>
        <v>312.90201324895719</v>
      </c>
      <c r="S32">
        <f t="shared" si="6"/>
        <v>0</v>
      </c>
      <c r="U32" s="168"/>
      <c r="V32" s="168"/>
      <c r="W32" s="168"/>
      <c r="X32" s="168"/>
    </row>
    <row r="33" spans="1:24" x14ac:dyDescent="0.3">
      <c r="A33" s="3" t="s">
        <v>95</v>
      </c>
      <c r="B33" s="3">
        <v>14107</v>
      </c>
      <c r="C33" s="171">
        <v>5789.3364588160021</v>
      </c>
      <c r="D33" s="171">
        <v>4453.3357375507703</v>
      </c>
      <c r="E33" s="171">
        <v>-1336.0007212652317</v>
      </c>
      <c r="F33" s="165">
        <v>0.26500000000000001</v>
      </c>
      <c r="G33" s="171">
        <v>-354.04019113528642</v>
      </c>
      <c r="H33" s="171">
        <v>0</v>
      </c>
      <c r="I33" s="3"/>
      <c r="J33" s="157">
        <v>1016.2962962962962</v>
      </c>
      <c r="K33" s="157"/>
      <c r="L33" s="157">
        <f t="shared" si="7"/>
        <v>-1016.2962962962962</v>
      </c>
      <c r="M33" s="166">
        <f>'Tax Rates'!$L$24</f>
        <v>0.26500000000000001</v>
      </c>
      <c r="N33" s="157">
        <f t="shared" si="8"/>
        <v>-269.31851851851849</v>
      </c>
      <c r="O33" s="157">
        <f t="shared" si="9"/>
        <v>0</v>
      </c>
      <c r="Q33">
        <f>L33-E33</f>
        <v>319.70442496893554</v>
      </c>
      <c r="R33">
        <f t="shared" si="5"/>
        <v>-84.721672616767933</v>
      </c>
      <c r="S33">
        <f t="shared" si="6"/>
        <v>0</v>
      </c>
      <c r="U33" s="168"/>
      <c r="V33" s="168"/>
      <c r="W33" s="168"/>
      <c r="X33" s="168"/>
    </row>
    <row r="34" spans="1:24" ht="15" thickBot="1" x14ac:dyDescent="0.35">
      <c r="A34" s="161" t="s">
        <v>96</v>
      </c>
      <c r="B34" s="161"/>
      <c r="C34" s="172">
        <v>19875.620161216008</v>
      </c>
      <c r="D34" s="172">
        <v>15288.938585550772</v>
      </c>
      <c r="E34" s="172">
        <v>-4586.6815756652322</v>
      </c>
      <c r="F34" s="162"/>
      <c r="G34" s="172">
        <v>-1215.4706175512868</v>
      </c>
      <c r="H34" s="172">
        <v>0</v>
      </c>
      <c r="I34" s="161"/>
      <c r="J34" s="163">
        <f>SUM(J27:J33)</f>
        <v>19572.6353909465</v>
      </c>
      <c r="K34" s="163">
        <f>SUM(K27:K33)</f>
        <v>0</v>
      </c>
      <c r="L34" s="163">
        <f>SUM(L27:L33)</f>
        <v>-19572.6353909465</v>
      </c>
      <c r="M34" s="163"/>
      <c r="N34" s="163">
        <f>SUM(N27:N33)</f>
        <v>-5186.7483786008233</v>
      </c>
      <c r="O34" s="163">
        <f>SUM(O27:O33)</f>
        <v>0</v>
      </c>
      <c r="Q34" s="163">
        <f>SUM(Q27:Q33)</f>
        <v>-14985.953815281269</v>
      </c>
      <c r="R34" s="163">
        <f>SUM(R27:R33)</f>
        <v>3971.2777610495364</v>
      </c>
      <c r="S34" s="163">
        <f>SUM(S27:S33)</f>
        <v>0</v>
      </c>
      <c r="U34" s="168"/>
      <c r="V34" s="168"/>
      <c r="W34" s="168"/>
      <c r="X34" s="168"/>
    </row>
    <row r="35" spans="1:24" ht="15" thickTop="1" x14ac:dyDescent="0.3">
      <c r="A35" s="8"/>
      <c r="B35" s="8"/>
      <c r="C35" s="173"/>
      <c r="D35" s="173"/>
      <c r="E35" s="173"/>
      <c r="F35" s="159"/>
      <c r="G35" s="173"/>
      <c r="H35" s="173"/>
      <c r="I35" s="8"/>
      <c r="J35" s="160"/>
      <c r="K35" s="160"/>
      <c r="L35" s="160"/>
      <c r="M35" s="160"/>
      <c r="N35" s="160"/>
      <c r="O35" s="160"/>
      <c r="Q35">
        <f>L35-E35</f>
        <v>0</v>
      </c>
      <c r="U35" s="168"/>
      <c r="V35" s="168"/>
      <c r="W35" s="168"/>
      <c r="X35" s="168"/>
    </row>
    <row r="36" spans="1:24" ht="15" thickBot="1" x14ac:dyDescent="0.35">
      <c r="A36" s="161" t="s">
        <v>98</v>
      </c>
      <c r="B36" s="161"/>
      <c r="C36" s="172">
        <v>254122.63230013661</v>
      </c>
      <c r="D36" s="172">
        <v>195478.94792318199</v>
      </c>
      <c r="E36" s="172">
        <v>-58643.68437695461</v>
      </c>
      <c r="F36" s="162"/>
      <c r="G36" s="172">
        <v>-15540.576359892972</v>
      </c>
      <c r="H36" s="172">
        <v>0</v>
      </c>
      <c r="I36" s="161"/>
      <c r="J36" s="163">
        <f t="shared" ref="J36:L36" si="10">J34+J24</f>
        <v>71573.306995884777</v>
      </c>
      <c r="K36" s="163">
        <f t="shared" si="10"/>
        <v>0</v>
      </c>
      <c r="L36" s="163">
        <f t="shared" si="10"/>
        <v>-71573.306995884777</v>
      </c>
      <c r="M36" s="163"/>
      <c r="N36" s="163">
        <f t="shared" ref="N36:S36" si="11">N34+N24</f>
        <v>-18966.926353909468</v>
      </c>
      <c r="O36" s="163">
        <f t="shared" si="11"/>
        <v>0</v>
      </c>
      <c r="Q36" s="163">
        <f t="shared" si="11"/>
        <v>-12929.622618930174</v>
      </c>
      <c r="R36" s="163">
        <f t="shared" si="11"/>
        <v>3426.3499940164929</v>
      </c>
      <c r="S36" s="163">
        <f t="shared" si="11"/>
        <v>0</v>
      </c>
      <c r="U36" s="168"/>
      <c r="V36" s="168"/>
      <c r="W36" s="168"/>
      <c r="X36" s="168"/>
    </row>
    <row r="37" spans="1:24" ht="15" thickTop="1" x14ac:dyDescent="0.3">
      <c r="A37" s="8"/>
      <c r="B37" s="8"/>
      <c r="C37" s="173"/>
      <c r="D37" s="173"/>
      <c r="E37" s="173"/>
      <c r="F37" s="159"/>
      <c r="G37" s="173"/>
      <c r="H37" s="173"/>
      <c r="I37" s="8"/>
      <c r="J37" s="160"/>
      <c r="K37" s="160"/>
      <c r="L37" s="160"/>
      <c r="M37" s="160"/>
      <c r="N37" s="160"/>
      <c r="O37" s="160"/>
      <c r="U37" s="168"/>
      <c r="V37" s="168"/>
      <c r="W37" s="168"/>
      <c r="X37" s="168"/>
    </row>
    <row r="38" spans="1:24" x14ac:dyDescent="0.3">
      <c r="A38" s="164" t="s">
        <v>99</v>
      </c>
      <c r="B38" s="3"/>
      <c r="C38" s="171"/>
      <c r="D38" s="171"/>
      <c r="E38" s="171"/>
      <c r="F38" s="153"/>
      <c r="G38" s="171"/>
      <c r="H38" s="171"/>
      <c r="I38" s="3"/>
      <c r="J38" s="157"/>
      <c r="K38" s="157"/>
      <c r="L38" s="157"/>
      <c r="M38" s="157"/>
      <c r="N38" s="157"/>
      <c r="O38" s="157"/>
      <c r="U38" s="168"/>
      <c r="V38" s="168"/>
      <c r="W38" s="168"/>
      <c r="X38" s="168"/>
    </row>
    <row r="39" spans="1:24" x14ac:dyDescent="0.3">
      <c r="A39" s="3" t="s">
        <v>100</v>
      </c>
      <c r="B39" s="3">
        <v>14201</v>
      </c>
      <c r="C39" s="171">
        <v>1000</v>
      </c>
      <c r="D39" s="171">
        <v>800</v>
      </c>
      <c r="E39" s="171">
        <v>-200</v>
      </c>
      <c r="F39" s="165">
        <v>0.26500000000000001</v>
      </c>
      <c r="G39" s="171">
        <v>-53</v>
      </c>
      <c r="H39" s="171">
        <v>0</v>
      </c>
      <c r="I39" s="3"/>
      <c r="J39" s="157">
        <v>10000</v>
      </c>
      <c r="K39" s="157"/>
      <c r="L39" s="157">
        <f>K39-J39</f>
        <v>-10000</v>
      </c>
      <c r="M39" s="166">
        <f>'Tax Rates'!$L$24</f>
        <v>0.26500000000000001</v>
      </c>
      <c r="N39" s="157">
        <f>IF(M39*L39&lt;0,M39*L39,0)</f>
        <v>-2650</v>
      </c>
      <c r="O39" s="157">
        <f>IF(M39*L39&gt;0,M39*L39,0)</f>
        <v>0</v>
      </c>
      <c r="Q39">
        <f>L39-E39</f>
        <v>-9800</v>
      </c>
      <c r="R39">
        <f t="shared" ref="R39" si="12">-(N39+O39-G39-H39)</f>
        <v>2597</v>
      </c>
      <c r="S39">
        <f t="shared" ref="S39" si="13">(F39-M39)*E39</f>
        <v>0</v>
      </c>
      <c r="U39" s="168"/>
      <c r="V39" s="168"/>
      <c r="W39" s="168"/>
      <c r="X39" s="168"/>
    </row>
    <row r="40" spans="1:24" ht="15" thickBot="1" x14ac:dyDescent="0.35">
      <c r="A40" s="161" t="s">
        <v>101</v>
      </c>
      <c r="B40" s="161"/>
      <c r="C40" s="172">
        <v>1000</v>
      </c>
      <c r="D40" s="172">
        <v>800</v>
      </c>
      <c r="E40" s="172">
        <v>-200</v>
      </c>
      <c r="F40" s="162"/>
      <c r="G40" s="172">
        <v>-53</v>
      </c>
      <c r="H40" s="172">
        <v>0</v>
      </c>
      <c r="I40" s="161"/>
      <c r="J40" s="163">
        <f>J39</f>
        <v>10000</v>
      </c>
      <c r="K40" s="163">
        <f>K39</f>
        <v>0</v>
      </c>
      <c r="L40" s="163">
        <f>L39</f>
        <v>-10000</v>
      </c>
      <c r="M40" s="163"/>
      <c r="N40" s="163">
        <f>N39</f>
        <v>-2650</v>
      </c>
      <c r="O40" s="163">
        <f>O39</f>
        <v>0</v>
      </c>
      <c r="Q40" s="163">
        <f>Q39</f>
        <v>-9800</v>
      </c>
      <c r="R40" s="163">
        <f>R39</f>
        <v>2597</v>
      </c>
      <c r="S40" s="163">
        <f>S39</f>
        <v>0</v>
      </c>
      <c r="U40" s="168"/>
      <c r="V40" s="168"/>
      <c r="W40" s="168"/>
      <c r="X40" s="168"/>
    </row>
    <row r="41" spans="1:24" ht="15" thickTop="1" x14ac:dyDescent="0.3">
      <c r="A41" s="8"/>
      <c r="B41" s="8"/>
      <c r="C41" s="173"/>
      <c r="D41" s="173"/>
      <c r="E41" s="173"/>
      <c r="F41" s="159"/>
      <c r="G41" s="173"/>
      <c r="H41" s="173"/>
      <c r="I41" s="8"/>
      <c r="J41" s="160"/>
      <c r="K41" s="160"/>
      <c r="L41" s="160"/>
      <c r="M41" s="160"/>
      <c r="N41" s="160"/>
      <c r="O41" s="160"/>
      <c r="U41" s="168"/>
      <c r="V41" s="168"/>
      <c r="W41" s="168"/>
      <c r="X41" s="168"/>
    </row>
    <row r="42" spans="1:24" x14ac:dyDescent="0.3">
      <c r="A42" s="164" t="s">
        <v>102</v>
      </c>
      <c r="B42" s="3"/>
      <c r="C42" s="171"/>
      <c r="D42" s="171"/>
      <c r="E42" s="171"/>
      <c r="F42" s="153"/>
      <c r="G42" s="171"/>
      <c r="H42" s="171"/>
      <c r="I42" s="3"/>
      <c r="J42" s="157"/>
      <c r="K42" s="157"/>
      <c r="L42" s="157"/>
      <c r="M42" s="157"/>
      <c r="N42" s="157"/>
      <c r="O42" s="157"/>
      <c r="U42" s="168"/>
      <c r="V42" s="168"/>
      <c r="W42" s="168"/>
      <c r="X42" s="168"/>
    </row>
    <row r="43" spans="1:24" x14ac:dyDescent="0.3">
      <c r="A43" s="3" t="s">
        <v>103</v>
      </c>
      <c r="B43" s="3">
        <v>14301</v>
      </c>
      <c r="C43" s="171">
        <v>8000</v>
      </c>
      <c r="D43" s="171">
        <v>9000</v>
      </c>
      <c r="E43" s="171"/>
      <c r="F43" s="165">
        <v>0.26500000000000001</v>
      </c>
      <c r="G43" s="171">
        <v>0</v>
      </c>
      <c r="H43" s="171">
        <v>0</v>
      </c>
      <c r="I43" s="3"/>
      <c r="J43" s="157">
        <v>2177.7777777777778</v>
      </c>
      <c r="K43" s="157"/>
      <c r="L43" s="157"/>
      <c r="M43" s="166">
        <f>'Tax Rates'!$L$24</f>
        <v>0.26500000000000001</v>
      </c>
      <c r="N43" s="157">
        <f>IF(M43*L43&lt;0,M43*L43,0)</f>
        <v>0</v>
      </c>
      <c r="O43" s="157">
        <f>IF(M43*L43&gt;0,M43*L43,0)</f>
        <v>0</v>
      </c>
      <c r="Q43">
        <f>L43-E43</f>
        <v>0</v>
      </c>
      <c r="R43">
        <f t="shared" ref="R43" si="14">-(N43+O43-G43-H43)</f>
        <v>0</v>
      </c>
      <c r="S43">
        <f t="shared" ref="S43" si="15">(F43-M43)*E43</f>
        <v>0</v>
      </c>
      <c r="U43" s="168"/>
      <c r="V43" s="168"/>
      <c r="W43" s="168"/>
      <c r="X43" s="168"/>
    </row>
    <row r="44" spans="1:24" ht="15" thickBot="1" x14ac:dyDescent="0.35">
      <c r="A44" s="161" t="s">
        <v>104</v>
      </c>
      <c r="B44" s="161"/>
      <c r="C44" s="172">
        <v>8000</v>
      </c>
      <c r="D44" s="172">
        <v>9000</v>
      </c>
      <c r="E44" s="172">
        <v>0</v>
      </c>
      <c r="F44" s="162"/>
      <c r="G44" s="172">
        <v>0</v>
      </c>
      <c r="H44" s="172">
        <v>0</v>
      </c>
      <c r="I44" s="161"/>
      <c r="J44" s="163">
        <f>J43</f>
        <v>2177.7777777777778</v>
      </c>
      <c r="K44" s="163">
        <f>K43</f>
        <v>0</v>
      </c>
      <c r="L44" s="163">
        <f>L43</f>
        <v>0</v>
      </c>
      <c r="M44" s="163"/>
      <c r="N44" s="163">
        <f>N43</f>
        <v>0</v>
      </c>
      <c r="O44" s="163">
        <f>O43</f>
        <v>0</v>
      </c>
      <c r="Q44" s="163">
        <f>Q43</f>
        <v>0</v>
      </c>
      <c r="R44" s="163">
        <f>R43</f>
        <v>0</v>
      </c>
      <c r="S44" s="163">
        <f>S43</f>
        <v>0</v>
      </c>
      <c r="U44" s="168"/>
      <c r="V44" s="168"/>
      <c r="W44" s="168"/>
      <c r="X44" s="168"/>
    </row>
    <row r="45" spans="1:24" ht="15" thickTop="1" x14ac:dyDescent="0.3">
      <c r="A45" s="3"/>
      <c r="B45" s="3"/>
      <c r="C45" s="171"/>
      <c r="D45" s="171"/>
      <c r="E45" s="171"/>
      <c r="F45" s="153"/>
      <c r="G45" s="171"/>
      <c r="H45" s="171"/>
      <c r="I45" s="3"/>
      <c r="J45" s="157"/>
      <c r="K45" s="157"/>
      <c r="L45" s="157"/>
      <c r="M45" s="157"/>
      <c r="N45" s="157"/>
      <c r="O45" s="157"/>
      <c r="U45" s="168"/>
      <c r="V45" s="168"/>
      <c r="W45" s="168"/>
      <c r="X45" s="168"/>
    </row>
    <row r="46" spans="1:24" ht="15" thickBot="1" x14ac:dyDescent="0.35">
      <c r="A46" s="161" t="s">
        <v>106</v>
      </c>
      <c r="B46" s="161"/>
      <c r="C46" s="172">
        <v>9000</v>
      </c>
      <c r="D46" s="172">
        <v>9800</v>
      </c>
      <c r="E46" s="172">
        <v>-200</v>
      </c>
      <c r="F46" s="162"/>
      <c r="G46" s="172">
        <v>-53</v>
      </c>
      <c r="H46" s="172">
        <v>0</v>
      </c>
      <c r="I46" s="161"/>
      <c r="J46" s="163">
        <f>J44+J40</f>
        <v>12177.777777777777</v>
      </c>
      <c r="K46" s="163">
        <f>K44+K40</f>
        <v>0</v>
      </c>
      <c r="L46" s="163">
        <f>L44+L40</f>
        <v>-10000</v>
      </c>
      <c r="M46" s="163"/>
      <c r="N46" s="163">
        <f>N44+N40</f>
        <v>-2650</v>
      </c>
      <c r="O46" s="163">
        <f>O44+O40</f>
        <v>0</v>
      </c>
      <c r="Q46" s="163">
        <f>Q44+Q40</f>
        <v>-9800</v>
      </c>
      <c r="R46" s="163">
        <f>R44+R40</f>
        <v>2597</v>
      </c>
      <c r="S46" s="163">
        <f>S44+S40</f>
        <v>0</v>
      </c>
      <c r="U46" s="168"/>
      <c r="V46" s="168"/>
      <c r="W46" s="168"/>
      <c r="X46" s="168"/>
    </row>
    <row r="47" spans="1:24" ht="15" thickTop="1" x14ac:dyDescent="0.3">
      <c r="A47" s="8"/>
      <c r="B47" s="8"/>
      <c r="C47" s="173"/>
      <c r="D47" s="173"/>
      <c r="E47" s="173"/>
      <c r="F47" s="159"/>
      <c r="G47" s="173"/>
      <c r="H47" s="173"/>
      <c r="I47" s="8"/>
      <c r="J47" s="160"/>
      <c r="K47" s="160"/>
      <c r="L47" s="160"/>
      <c r="M47" s="160"/>
      <c r="N47" s="160"/>
      <c r="O47" s="160"/>
      <c r="Q47">
        <f>L47-E47</f>
        <v>0</v>
      </c>
      <c r="U47" s="39"/>
      <c r="V47" s="39"/>
      <c r="W47" s="39"/>
      <c r="X47" s="39"/>
    </row>
    <row r="48" spans="1:24" ht="15" thickBot="1" x14ac:dyDescent="0.35">
      <c r="A48" s="161" t="s">
        <v>108</v>
      </c>
      <c r="B48" s="161"/>
      <c r="C48" s="172">
        <v>263122.63230013661</v>
      </c>
      <c r="D48" s="172">
        <v>205278.94792318199</v>
      </c>
      <c r="E48" s="172">
        <v>-58843.68437695461</v>
      </c>
      <c r="F48" s="162"/>
      <c r="G48" s="172">
        <v>-15593.576359892972</v>
      </c>
      <c r="H48" s="172">
        <v>0</v>
      </c>
      <c r="I48" s="161"/>
      <c r="J48" s="163">
        <f>J46+J36</f>
        <v>83751.084773662558</v>
      </c>
      <c r="K48" s="163">
        <f>K46+K36</f>
        <v>0</v>
      </c>
      <c r="L48" s="163">
        <f>L46+L36</f>
        <v>-81573.306995884777</v>
      </c>
      <c r="M48" s="163"/>
      <c r="N48" s="163">
        <f>N46+N36</f>
        <v>-21616.926353909468</v>
      </c>
      <c r="O48" s="163">
        <f>O46+O36</f>
        <v>0</v>
      </c>
      <c r="Q48" s="163">
        <f>Q46+Q36</f>
        <v>-22729.622618930174</v>
      </c>
      <c r="R48" s="163">
        <f>R46+R36</f>
        <v>6023.3499940164929</v>
      </c>
      <c r="S48" s="163">
        <f>S46+S36</f>
        <v>0</v>
      </c>
      <c r="U48" s="168"/>
      <c r="V48" s="168"/>
      <c r="W48" s="168"/>
      <c r="X48" s="168"/>
    </row>
    <row r="49" spans="1:2" ht="15" thickTop="1" x14ac:dyDescent="0.3">
      <c r="A49"/>
      <c r="B49"/>
    </row>
  </sheetData>
  <mergeCells count="4">
    <mergeCell ref="G7:H7"/>
    <mergeCell ref="C6:H6"/>
    <mergeCell ref="J6:O6"/>
    <mergeCell ref="N7:O7"/>
  </mergeCells>
  <conditionalFormatting sqref="A9">
    <cfRule type="expression" dxfId="144" priority="129">
      <formula>$A9 = 13500</formula>
    </cfRule>
    <cfRule type="expression" dxfId="143" priority="130">
      <formula>$A9 = 13499</formula>
    </cfRule>
    <cfRule type="expression" dxfId="142" priority="131">
      <formula>$A9 = 13302</formula>
    </cfRule>
    <cfRule type="expression" dxfId="141" priority="132">
      <formula>#REF! = "Other"</formula>
    </cfRule>
    <cfRule type="expression" dxfId="140" priority="133">
      <formula>#REF! = "Difference"</formula>
    </cfRule>
    <cfRule type="expression" dxfId="139" priority="134">
      <formula>#REF! = "Net Operating Losses"</formula>
    </cfRule>
    <cfRule type="expression" dxfId="138" priority="135">
      <formula>#REF! = "Temporary Items"</formula>
    </cfRule>
    <cfRule type="expression" dxfId="137" priority="136">
      <formula>#REF! = "Permanent Items"</formula>
    </cfRule>
    <cfRule type="expression" dxfId="136" priority="137">
      <formula>$A9 = 13300</formula>
    </cfRule>
    <cfRule type="expression" dxfId="135" priority="138">
      <formula>$A9 = 13299</formula>
    </cfRule>
    <cfRule type="expression" dxfId="134" priority="139">
      <formula>$A9 = 13103</formula>
    </cfRule>
    <cfRule type="expression" dxfId="133" priority="140">
      <formula>$A9 = 13101</formula>
    </cfRule>
    <cfRule type="expression" dxfId="132" priority="141">
      <formula>$A9 = 13100</formula>
    </cfRule>
    <cfRule type="expression" dxfId="131" priority="142">
      <formula>$A9 = 13010</formula>
    </cfRule>
    <cfRule type="expression" dxfId="130" priority="143">
      <formula>$A9 = 12999</formula>
    </cfRule>
    <cfRule type="expression" dxfId="129" priority="144">
      <formula>$A9 = 11999</formula>
    </cfRule>
    <cfRule type="expression" dxfId="128" priority="145">
      <formula>$A9 = 10999</formula>
    </cfRule>
  </conditionalFormatting>
  <conditionalFormatting sqref="A10:A43 A45:A49">
    <cfRule type="expression" dxfId="127" priority="112">
      <formula>$A10 = 13500</formula>
    </cfRule>
    <cfRule type="expression" dxfId="126" priority="113">
      <formula>$A10 = 13499</formula>
    </cfRule>
    <cfRule type="expression" dxfId="125" priority="114">
      <formula>$A10 = 13302</formula>
    </cfRule>
    <cfRule type="expression" dxfId="124" priority="115">
      <formula>#REF! = "Other"</formula>
    </cfRule>
    <cfRule type="expression" dxfId="123" priority="116">
      <formula>#REF! = "Difference"</formula>
    </cfRule>
    <cfRule type="expression" dxfId="122" priority="117">
      <formula>#REF! = "Net Operating Losses"</formula>
    </cfRule>
    <cfRule type="expression" dxfId="121" priority="118">
      <formula>#REF! = "Temporary Items"</formula>
    </cfRule>
    <cfRule type="expression" dxfId="120" priority="119">
      <formula>#REF! = "Permanent Items"</formula>
    </cfRule>
    <cfRule type="expression" dxfId="119" priority="120">
      <formula>$A10 = 13300</formula>
    </cfRule>
    <cfRule type="expression" dxfId="118" priority="121">
      <formula>$A10 = 13299</formula>
    </cfRule>
    <cfRule type="expression" dxfId="117" priority="122">
      <formula>$A10 = 13103</formula>
    </cfRule>
    <cfRule type="expression" dxfId="116" priority="123">
      <formula>$A10 = 13101</formula>
    </cfRule>
    <cfRule type="expression" dxfId="115" priority="124">
      <formula>$A10 = 13100</formula>
    </cfRule>
    <cfRule type="expression" dxfId="114" priority="125">
      <formula>$A10 = 13010</formula>
    </cfRule>
    <cfRule type="expression" dxfId="113" priority="126">
      <formula>$A10 = 12999</formula>
    </cfRule>
    <cfRule type="expression" dxfId="112" priority="127">
      <formula>$A10 = 11999</formula>
    </cfRule>
    <cfRule type="expression" dxfId="111" priority="128">
      <formula>$A10 = 10999</formula>
    </cfRule>
  </conditionalFormatting>
  <conditionalFormatting sqref="B9">
    <cfRule type="expression" dxfId="110" priority="95">
      <formula>$A9 = 13500</formula>
    </cfRule>
    <cfRule type="expression" dxfId="109" priority="96">
      <formula>$A9 = 13499</formula>
    </cfRule>
    <cfRule type="expression" dxfId="108" priority="97">
      <formula>$A9 = 13302</formula>
    </cfRule>
    <cfRule type="expression" dxfId="107" priority="98">
      <formula>#REF! = "Other"</formula>
    </cfRule>
    <cfRule type="expression" dxfId="106" priority="99">
      <formula>#REF! = "Difference"</formula>
    </cfRule>
    <cfRule type="expression" dxfId="105" priority="100">
      <formula>#REF! = "Net Operating Losses"</formula>
    </cfRule>
    <cfRule type="expression" dxfId="104" priority="101">
      <formula>#REF! = "Temporary Items"</formula>
    </cfRule>
    <cfRule type="expression" dxfId="103" priority="102">
      <formula>#REF! = "Permanent Items"</formula>
    </cfRule>
    <cfRule type="expression" dxfId="102" priority="103">
      <formula>$A9 = 13300</formula>
    </cfRule>
    <cfRule type="expression" dxfId="101" priority="104">
      <formula>$A9 = 13299</formula>
    </cfRule>
    <cfRule type="expression" dxfId="100" priority="105">
      <formula>$A9 = 13103</formula>
    </cfRule>
    <cfRule type="expression" dxfId="99" priority="106">
      <formula>$A9 = 13101</formula>
    </cfRule>
    <cfRule type="expression" dxfId="98" priority="107">
      <formula>$A9 = 13100</formula>
    </cfRule>
    <cfRule type="expression" dxfId="97" priority="108">
      <formula>$A9 = 13010</formula>
    </cfRule>
    <cfRule type="expression" dxfId="96" priority="109">
      <formula>$A9 = 12999</formula>
    </cfRule>
    <cfRule type="expression" dxfId="95" priority="110">
      <formula>$A9 = 11999</formula>
    </cfRule>
    <cfRule type="expression" dxfId="94" priority="111">
      <formula>$A9 = 10999</formula>
    </cfRule>
  </conditionalFormatting>
  <conditionalFormatting sqref="B10:B43 B45:B49">
    <cfRule type="expression" dxfId="93" priority="78">
      <formula>$A10 = 13500</formula>
    </cfRule>
    <cfRule type="expression" dxfId="92" priority="79">
      <formula>$A10 = 13499</formula>
    </cfRule>
    <cfRule type="expression" dxfId="91" priority="80">
      <formula>$A10 = 13302</formula>
    </cfRule>
    <cfRule type="expression" dxfId="90" priority="81">
      <formula>#REF! = "Other"</formula>
    </cfRule>
    <cfRule type="expression" dxfId="89" priority="82">
      <formula>#REF! = "Difference"</formula>
    </cfRule>
    <cfRule type="expression" dxfId="88" priority="83">
      <formula>#REF! = "Net Operating Losses"</formula>
    </cfRule>
    <cfRule type="expression" dxfId="87" priority="84">
      <formula>#REF! = "Temporary Items"</formula>
    </cfRule>
    <cfRule type="expression" dxfId="86" priority="85">
      <formula>#REF! = "Permanent Items"</formula>
    </cfRule>
    <cfRule type="expression" dxfId="85" priority="86">
      <formula>$A10 = 13300</formula>
    </cfRule>
    <cfRule type="expression" dxfId="84" priority="87">
      <formula>$A10 = 13299</formula>
    </cfRule>
    <cfRule type="expression" dxfId="83" priority="88">
      <formula>$A10 = 13103</formula>
    </cfRule>
    <cfRule type="expression" dxfId="82" priority="89">
      <formula>$A10 = 13101</formula>
    </cfRule>
    <cfRule type="expression" dxfId="81" priority="90">
      <formula>$A10 = 13100</formula>
    </cfRule>
    <cfRule type="expression" dxfId="80" priority="91">
      <formula>$A10 = 13010</formula>
    </cfRule>
    <cfRule type="expression" dxfId="79" priority="92">
      <formula>$A10 = 12999</formula>
    </cfRule>
    <cfRule type="expression" dxfId="78" priority="93">
      <formula>$A10 = 11999</formula>
    </cfRule>
    <cfRule type="expression" dxfId="77" priority="94">
      <formula>$A10 = 10999</formula>
    </cfRule>
  </conditionalFormatting>
  <conditionalFormatting sqref="B8">
    <cfRule type="expression" dxfId="76" priority="61">
      <formula>$A8 = 13500</formula>
    </cfRule>
    <cfRule type="expression" dxfId="75" priority="62">
      <formula>$A8 = 13499</formula>
    </cfRule>
    <cfRule type="expression" dxfId="74" priority="63">
      <formula>$A8 = 13302</formula>
    </cfRule>
    <cfRule type="expression" dxfId="73" priority="64">
      <formula>#REF! = "Other"</formula>
    </cfRule>
    <cfRule type="expression" dxfId="72" priority="65">
      <formula>#REF! = "Difference"</formula>
    </cfRule>
    <cfRule type="expression" dxfId="71" priority="66">
      <formula>#REF! = "Net Operating Losses"</formula>
    </cfRule>
    <cfRule type="expression" dxfId="70" priority="67">
      <formula>#REF! = "Temporary Items"</formula>
    </cfRule>
    <cfRule type="expression" dxfId="69" priority="68">
      <formula>#REF! = "Permanent Items"</formula>
    </cfRule>
    <cfRule type="expression" dxfId="68" priority="69">
      <formula>$A8 = 13300</formula>
    </cfRule>
    <cfRule type="expression" dxfId="67" priority="70">
      <formula>$A8 = 13299</formula>
    </cfRule>
    <cfRule type="expression" dxfId="66" priority="71">
      <formula>$A8 = 13103</formula>
    </cfRule>
    <cfRule type="expression" dxfId="65" priority="72">
      <formula>$A8 = 13101</formula>
    </cfRule>
    <cfRule type="expression" dxfId="64" priority="73">
      <formula>$A8 = 13100</formula>
    </cfRule>
    <cfRule type="expression" dxfId="63" priority="74">
      <formula>$A8 = 13010</formula>
    </cfRule>
    <cfRule type="expression" dxfId="62" priority="75">
      <formula>$A8 = 12999</formula>
    </cfRule>
    <cfRule type="expression" dxfId="61" priority="76">
      <formula>$A8 = 11999</formula>
    </cfRule>
    <cfRule type="expression" dxfId="60" priority="77">
      <formula>$A8 = 10999</formula>
    </cfRule>
  </conditionalFormatting>
  <conditionalFormatting sqref="A8">
    <cfRule type="expression" dxfId="59" priority="44">
      <formula>$A8 = 13500</formula>
    </cfRule>
    <cfRule type="expression" dxfId="58" priority="45">
      <formula>$A8 = 13499</formula>
    </cfRule>
    <cfRule type="expression" dxfId="57" priority="46">
      <formula>$A8 = 13302</formula>
    </cfRule>
    <cfRule type="expression" dxfId="56" priority="47">
      <formula>#REF! = "Other"</formula>
    </cfRule>
    <cfRule type="expression" dxfId="55" priority="48">
      <formula>#REF! = "Difference"</formula>
    </cfRule>
    <cfRule type="expression" dxfId="54" priority="49">
      <formula>#REF! = "Net Operating Losses"</formula>
    </cfRule>
    <cfRule type="expression" dxfId="53" priority="50">
      <formula>#REF! = "Temporary Items"</formula>
    </cfRule>
    <cfRule type="expression" dxfId="52" priority="51">
      <formula>#REF! = "Permanent Items"</formula>
    </cfRule>
    <cfRule type="expression" dxfId="51" priority="52">
      <formula>$A8 = 13300</formula>
    </cfRule>
    <cfRule type="expression" dxfId="50" priority="53">
      <formula>$A8 = 13299</formula>
    </cfRule>
    <cfRule type="expression" dxfId="49" priority="54">
      <formula>$A8 = 13103</formula>
    </cfRule>
    <cfRule type="expression" dxfId="48" priority="55">
      <formula>$A8 = 13101</formula>
    </cfRule>
    <cfRule type="expression" dxfId="47" priority="56">
      <formula>$A8 = 13100</formula>
    </cfRule>
    <cfRule type="expression" dxfId="46" priority="57">
      <formula>$A8 = 13010</formula>
    </cfRule>
    <cfRule type="expression" dxfId="45" priority="58">
      <formula>$A8 = 12999</formula>
    </cfRule>
    <cfRule type="expression" dxfId="44" priority="59">
      <formula>$A8 = 11999</formula>
    </cfRule>
    <cfRule type="expression" dxfId="43" priority="60">
      <formula>$A8 = 10999</formula>
    </cfRule>
  </conditionalFormatting>
  <conditionalFormatting sqref="A44">
    <cfRule type="expression" dxfId="42" priority="27">
      <formula>$A44 = 13500</formula>
    </cfRule>
    <cfRule type="expression" dxfId="41" priority="28">
      <formula>$A44 = 13499</formula>
    </cfRule>
    <cfRule type="expression" dxfId="40" priority="29">
      <formula>$A44 = 13302</formula>
    </cfRule>
    <cfRule type="expression" dxfId="39" priority="30">
      <formula>#REF! = "Other"</formula>
    </cfRule>
    <cfRule type="expression" dxfId="38" priority="31">
      <formula>#REF! = "Difference"</formula>
    </cfRule>
    <cfRule type="expression" dxfId="37" priority="32">
      <formula>#REF! = "Net Operating Losses"</formula>
    </cfRule>
    <cfRule type="expression" dxfId="36" priority="33">
      <formula>#REF! = "Temporary Items"</formula>
    </cfRule>
    <cfRule type="expression" dxfId="35" priority="34">
      <formula>#REF! = "Permanent Items"</formula>
    </cfRule>
    <cfRule type="expression" dxfId="34" priority="35">
      <formula>$A44 = 13300</formula>
    </cfRule>
    <cfRule type="expression" dxfId="33" priority="36">
      <formula>$A44 = 13299</formula>
    </cfRule>
    <cfRule type="expression" dxfId="32" priority="37">
      <formula>$A44 = 13103</formula>
    </cfRule>
    <cfRule type="expression" dxfId="31" priority="38">
      <formula>$A44 = 13101</formula>
    </cfRule>
    <cfRule type="expression" dxfId="30" priority="39">
      <formula>$A44 = 13100</formula>
    </cfRule>
    <cfRule type="expression" dxfId="29" priority="40">
      <formula>$A44 = 13010</formula>
    </cfRule>
    <cfRule type="expression" dxfId="28" priority="41">
      <formula>$A44 = 12999</formula>
    </cfRule>
    <cfRule type="expression" dxfId="27" priority="42">
      <formula>$A44 = 11999</formula>
    </cfRule>
    <cfRule type="expression" dxfId="26" priority="43">
      <formula>$A44 = 10999</formula>
    </cfRule>
  </conditionalFormatting>
  <conditionalFormatting sqref="B44">
    <cfRule type="expression" dxfId="25" priority="10">
      <formula>$A44 = 13500</formula>
    </cfRule>
    <cfRule type="expression" dxfId="24" priority="11">
      <formula>$A44 = 13499</formula>
    </cfRule>
    <cfRule type="expression" dxfId="23" priority="12">
      <formula>$A44 = 13302</formula>
    </cfRule>
    <cfRule type="expression" dxfId="22" priority="13">
      <formula>#REF! = "Other"</formula>
    </cfRule>
    <cfRule type="expression" dxfId="21" priority="14">
      <formula>#REF! = "Difference"</formula>
    </cfRule>
    <cfRule type="expression" dxfId="20" priority="15">
      <formula>#REF! = "Net Operating Losses"</formula>
    </cfRule>
    <cfRule type="expression" dxfId="19" priority="16">
      <formula>#REF! = "Temporary Items"</formula>
    </cfRule>
    <cfRule type="expression" dxfId="18" priority="17">
      <formula>#REF! = "Permanent Items"</formula>
    </cfRule>
    <cfRule type="expression" dxfId="17" priority="18">
      <formula>$A44 = 13300</formula>
    </cfRule>
    <cfRule type="expression" dxfId="16" priority="19">
      <formula>$A44 = 13299</formula>
    </cfRule>
    <cfRule type="expression" dxfId="15" priority="20">
      <formula>$A44 = 13103</formula>
    </cfRule>
    <cfRule type="expression" dxfId="14" priority="21">
      <formula>$A44 = 13101</formula>
    </cfRule>
    <cfRule type="expression" dxfId="13" priority="22">
      <formula>$A44 = 13100</formula>
    </cfRule>
    <cfRule type="expression" dxfId="12" priority="23">
      <formula>$A44 = 13010</formula>
    </cfRule>
    <cfRule type="expression" dxfId="11" priority="24">
      <formula>$A44 = 12999</formula>
    </cfRule>
    <cfRule type="expression" dxfId="10" priority="25">
      <formula>$A44 = 11999</formula>
    </cfRule>
    <cfRule type="expression" dxfId="9" priority="26">
      <formula>$A44 = 10999</formula>
    </cfRule>
  </conditionalFormatting>
  <conditionalFormatting sqref="U7:X48">
    <cfRule type="expression" dxfId="8" priority="2">
      <formula>$C7 = ""</formula>
    </cfRule>
    <cfRule type="expression" dxfId="7" priority="3">
      <formula>$C7 = 14401</formula>
    </cfRule>
    <cfRule type="expression" dxfId="6" priority="4">
      <formula>$C7 = 14400</formula>
    </cfRule>
    <cfRule type="expression" dxfId="5" priority="5">
      <formula>$C7 = 14399</formula>
    </cfRule>
    <cfRule type="expression" dxfId="4" priority="6">
      <formula>$C7 = 14299</formula>
    </cfRule>
    <cfRule type="expression" dxfId="3" priority="7">
      <formula>$C7 = 14200</formula>
    </cfRule>
    <cfRule type="expression" dxfId="2" priority="8">
      <formula>$C7 = 14199</formula>
    </cfRule>
    <cfRule type="expression" dxfId="1" priority="9">
      <formula>$C7 = 14099</formula>
    </cfRule>
  </conditionalFormatting>
  <conditionalFormatting sqref="U7:X48">
    <cfRule type="expression" dxfId="0" priority="1">
      <formula>$C7 &lt;&gt;""</formula>
    </cfRule>
  </conditionalFormatting>
  <dataValidations count="3">
    <dataValidation type="list" showInputMessage="1" showErrorMessage="1" sqref="V8:V48" xr:uid="{3225419D-74C6-466E-93D1-E58EA088EADB}">
      <formula1>$V$5:$V$6</formula1>
    </dataValidation>
    <dataValidation type="list" allowBlank="1" showInputMessage="1" showErrorMessage="1" sqref="W8:W47" xr:uid="{B82D2581-01CC-4551-BCEE-72FED1AF061C}">
      <formula1>$V$7:$V$10</formula1>
    </dataValidation>
    <dataValidation type="list" allowBlank="1" showInputMessage="1" showErrorMessage="1" sqref="W48" xr:uid="{720D22C6-18C3-4514-ABED-7F368AD476D4}">
      <formula1>$V$7:$V$9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AC1B7B-CA7D-448F-934C-3209740A4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RSM Chart of Accounts</vt:lpstr>
      <vt:lpstr>Current_Tax_Expense</vt:lpstr>
      <vt:lpstr>Tax Rates</vt:lpstr>
      <vt:lpstr>Return_to_Provision</vt:lpstr>
      <vt:lpstr>Future_Taxes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Junaidy</dc:creator>
  <cp:lastModifiedBy>Bilal Junaidy</cp:lastModifiedBy>
  <dcterms:created xsi:type="dcterms:W3CDTF">2020-07-24T18:34:30Z</dcterms:created>
  <dcterms:modified xsi:type="dcterms:W3CDTF">2020-07-28T21:19:17Z</dcterms:modified>
</cp:coreProperties>
</file>